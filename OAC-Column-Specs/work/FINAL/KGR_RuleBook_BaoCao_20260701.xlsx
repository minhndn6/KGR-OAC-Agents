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Glossary" sheetId="1" state="visible" r:id="rId1"/>
    <sheet xmlns:r="http://schemas.openxmlformats.org/officeDocument/2006/relationships" name="BC01_Summary_TĐ" sheetId="2" state="visible" r:id="rId2"/>
    <sheet xmlns:r="http://schemas.openxmlformats.org/officeDocument/2006/relationships" name="BC01_Summary_Ngành" sheetId="3" state="visible" r:id="rId3"/>
    <sheet xmlns:r="http://schemas.openxmlformats.org/officeDocument/2006/relationships" name="BC01_Hàng ngày" sheetId="4" state="visible" r:id="rId4"/>
    <sheet xmlns:r="http://schemas.openxmlformats.org/officeDocument/2006/relationships" name="SFC Ước Tính" sheetId="5" state="visible" r:id="rId5"/>
    <sheet xmlns:r="http://schemas.openxmlformats.org/officeDocument/2006/relationships" name="SFC Thực Tế" sheetId="6" state="visible" r:id="rId6"/>
    <sheet xmlns:r="http://schemas.openxmlformats.org/officeDocument/2006/relationships" name="MI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44BA46"/>
      <sz val="13"/>
    </font>
    <font>
      <b val="1"/>
      <color rgb="00FFFFFF"/>
      <sz val="10"/>
    </font>
    <font>
      <b val="1"/>
      <color rgb="0044BA46"/>
      <sz val="12"/>
    </font>
    <font>
      <b val="1"/>
    </font>
  </fonts>
  <fills count="4">
    <fill>
      <patternFill/>
    </fill>
    <fill>
      <patternFill patternType="gray125"/>
    </fill>
    <fill>
      <patternFill patternType="solid">
        <fgColor rgb="0044BA46"/>
      </patternFill>
    </fill>
    <fill>
      <patternFill patternType="solid">
        <fgColor rgb="002E7D3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3" fillId="0" borderId="0" pivotButton="0" quotePrefix="0" xfId="0"/>
    <xf numFmtId="0" fontId="2" fillId="3" borderId="0" pivotButton="0" quotePrefix="0" xfId="0"/>
    <xf numFmtId="0" fontId="2" fillId="2" borderId="1" applyAlignment="1" pivotButton="0" quotePrefix="0" xfId="0">
      <alignment horizontal="center" vertical="center"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30" customWidth="1" min="1" max="1"/>
    <col width="95" customWidth="1" min="2" max="2"/>
  </cols>
  <sheetData>
    <row r="1">
      <c r="A1" s="1" t="inlineStr">
        <is>
          <t>RULE-BOOK BÁO CÁO KGR — Thuật ngữ dùng chung (xác nhận 1 lần)</t>
        </is>
      </c>
    </row>
    <row r="3">
      <c r="A3" s="2" t="inlineStr">
        <is>
          <t>Thuật ngữ</t>
        </is>
      </c>
      <c r="B3" s="2" t="inlineStr">
        <is>
          <t>Định nghĩa</t>
        </is>
      </c>
    </row>
    <row r="4">
      <c r="A4" s="3" t="inlineStr">
        <is>
          <t>Doanh số (+VAT)</t>
        </is>
      </c>
      <c r="B4" s="3" t="inlineStr">
        <is>
          <t>Tổng giá trị bán hàng đã bao gồm thuế GTGT (doanh số gộp).</t>
        </is>
      </c>
    </row>
    <row r="5">
      <c r="A5" s="3" t="inlineStr">
        <is>
          <t>Doanh thu</t>
        </is>
      </c>
      <c r="B5" s="3" t="inlineStr">
        <is>
          <t>Doanh thu THUẦN (chưa gồm VAT) từ bán hàng, sau khi trừ trả hàng/ghi có; đã loại kênh nội bộ &amp; giao dịch tranh chấp.</t>
        </is>
      </c>
    </row>
    <row r="6">
      <c r="A6" s="3" t="inlineStr">
        <is>
          <t>Giá vốn</t>
        </is>
      </c>
      <c r="B6" s="3" t="inlineStr">
        <is>
          <t>Giá vốn hàng bán (COGS): tính theo 3 lớp ưu tiên (giá vốn mục tiêu → giá vốn tồn kho → dự phòng); hàng tặng và dòng chiết khấu tính giá vốn = 0.</t>
        </is>
      </c>
    </row>
    <row r="7">
      <c r="A7" s="3" t="inlineStr">
        <is>
          <t>Lợi nhuận gộp</t>
        </is>
      </c>
      <c r="B7" s="3">
        <f> Doanh thu − Giá vốn.</f>
        <v/>
      </c>
    </row>
    <row r="8">
      <c r="A8" s="3" t="inlineStr">
        <is>
          <t>CKKM</t>
        </is>
      </c>
      <c r="B8" s="3" t="inlineStr">
        <is>
          <t>Chi phí chiết khấu/khuyến mãi thương mại (chi cho chương trình khuyến mãi).</t>
        </is>
      </c>
    </row>
    <row r="9">
      <c r="A9" s="3" t="inlineStr">
        <is>
          <t>AOP</t>
        </is>
      </c>
      <c r="B9" s="3" t="inlineStr">
        <is>
          <t>Kế hoạch năm (Annual Operating Plan) — mức mục tiêu/định mức được phân bổ cho từng chỉ tiêu. Là số KẾ HOẠCH, không phải thực tế.</t>
        </is>
      </c>
    </row>
    <row r="10">
      <c r="A10" s="3" t="inlineStr">
        <is>
          <t>Ước tính theo AOP</t>
        </is>
      </c>
      <c r="B10" s="3" t="inlineStr">
        <is>
          <t>Giá trị KHÔNG phải chi phí thực phát sinh, mà SUY RA từ kế hoạch AOP (tỷ lệ % trên doanh thu, hoặc phân bổ theo số ngày). Áp dụng cho nhiều dòng chi phí nằm DƯỚI 'Lợi nhuận gộp'. Khi đọc các dòng này cần hiểu là ước tính.</t>
        </is>
      </c>
    </row>
    <row r="11">
      <c r="A11" s="3" t="inlineStr">
        <is>
          <t>Xanh / Đỏ</t>
        </is>
      </c>
      <c r="B11" s="3" t="inlineStr">
        <is>
          <t>Phân loại sản phẩm: Xanh (nhóm ưu tiên) và Đỏ. Mỗi sản phẩm luôn thuộc đúng 1 trong 2 nhóm.</t>
        </is>
      </c>
    </row>
    <row r="12">
      <c r="A12" s="3" t="inlineStr">
        <is>
          <t>Tỷ lệ Xanh/Đỏ</t>
        </is>
      </c>
      <c r="B12" s="3" t="inlineStr">
        <is>
          <t>Tỷ lệ giữa doanh số sản phẩm nhóm Xanh và nhóm Đỏ.</t>
        </is>
      </c>
    </row>
    <row r="13">
      <c r="A13" s="3" t="inlineStr">
        <is>
          <t>Lũy kế (AsOfDate)</t>
        </is>
      </c>
      <c r="B13" s="3" t="inlineStr">
        <is>
          <t>Cộng dồn từ đầu kỳ đến NGÀY được chọn ở bộ lọc trên canvas. Đổi ngày → đổi số lũy kế.</t>
        </is>
      </c>
    </row>
    <row r="14">
      <c r="A14" s="3" t="inlineStr">
        <is>
          <t>Kênh nội bộ</t>
        </is>
      </c>
      <c r="B14" s="3" t="inlineStr">
        <is>
          <t>Kênh bán nội bộ trong tập đoàn — KHÔNG tính vào doanh thu/doanh số thực tế (bị loại trừ).</t>
        </is>
      </c>
    </row>
    <row r="15">
      <c r="A15" s="3" t="inlineStr">
        <is>
          <t>%/DS</t>
        </is>
      </c>
      <c r="B15" s="3" t="inlineStr">
        <is>
          <t>Tỷ trọng tính theo phần trăm trên Doanh số (hoặc Doanh thu) — cho biết chỉ tiêu chiếm bao nhiêu phần trăm doanh số.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workbookViewId="0">
      <pane ySplit="2" topLeftCell="A3" activePane="bottomLeft" state="frozen"/>
      <selection pane="bottomLeft" activeCell="A1" sqref="A1"/>
    </sheetView>
  </sheetViews>
  <sheetFormatPr baseColWidth="8" defaultRowHeight="15"/>
  <cols>
    <col width="26" customWidth="1" min="1" max="1"/>
    <col width="70" customWidth="1" min="2" max="2"/>
    <col width="40" customWidth="1" min="3" max="3"/>
    <col width="34" customWidth="1" min="4" max="4"/>
    <col width="12" customWidth="1" min="5" max="5"/>
  </cols>
  <sheetData>
    <row r="1">
      <c r="A1" s="4" t="inlineStr">
        <is>
          <t>(KGR) BRD.BC01_Daily_Summary v1.1 · BC01_Summary_TĐ · SUMMARY TẬP ĐOÀN</t>
        </is>
      </c>
    </row>
    <row r="3">
      <c r="A3" s="5" t="inlineStr">
        <is>
          <t>A. Các CỘT giá trị</t>
        </is>
      </c>
    </row>
    <row r="4" ht="28" customHeight="1">
      <c r="A4" s="6" t="inlineStr">
        <is>
          <t>Cột / Chỉ tiêu</t>
        </is>
      </c>
      <c r="B4" s="6" t="inlineStr">
        <is>
          <t>Cách tính (logic nghiệp vụ)</t>
        </is>
      </c>
      <c r="C4" s="6" t="inlineStr">
        <is>
          <t>Loại trừ / Bộ lọc</t>
        </is>
      </c>
      <c r="D4" s="6" t="inlineStr">
        <is>
          <t>Ghi chú</t>
        </is>
      </c>
      <c r="E4" s="6" t="inlineStr">
        <is>
          <t>KGR xác nhận</t>
        </is>
      </c>
    </row>
    <row r="5">
      <c r="A5" s="7" t="inlineStr">
        <is>
          <t>No.</t>
        </is>
      </c>
      <c r="B5" s="8" t="inlineStr">
        <is>
          <t>Số thứ tự dòng chỉ tiêu (1→25), cố định theo trình tự bảng lãi lỗ; chỉ để sắp xếp, không phải số liệu.</t>
        </is>
      </c>
      <c r="C5" s="8" t="inlineStr">
        <is>
          <t>—</t>
        </is>
      </c>
      <c r="D5" s="8" t="inlineStr"/>
      <c r="E5" s="8" t="inlineStr"/>
    </row>
    <row r="6">
      <c r="A6" s="7" t="inlineStr">
        <is>
          <t>Tên chỉ tiêu</t>
        </is>
      </c>
      <c r="B6" s="8" t="inlineStr">
        <is>
          <t>Nhãn chỉ tiêu của dòng (chiều dòng của bảng); danh mục 25 chỉ tiêu P&amp;L cố định.</t>
        </is>
      </c>
      <c r="C6" s="8" t="inlineStr">
        <is>
          <t>—</t>
        </is>
      </c>
      <c r="D6" s="8" t="inlineStr"/>
      <c r="E6" s="8" t="inlineStr"/>
    </row>
    <row r="7">
      <c r="A7" s="7" t="inlineStr">
        <is>
          <t>Doanh số AOP</t>
        </is>
      </c>
      <c r="B7" s="8" t="inlineStr">
        <is>
          <t>Giá trị KẾ HOẠCH (AOP) của chỉ tiêu trong kỳ — lấy trực tiếp từ bản kế hoạch năm (AOP) đã phân bổ cho từng chỉ tiêu, theo kỳ (tháng) và cấp tập đoàn. Nếu kỳ đó chưa có kế hoạch cho chỉ tiêu → để trống.</t>
        </is>
      </c>
      <c r="C7" s="8" t="inlineStr">
        <is>
          <t>—</t>
        </is>
      </c>
      <c r="D7" s="8" t="inlineStr">
        <is>
          <t>Là số kế hoạch, không phải thực tế.</t>
        </is>
      </c>
      <c r="E7" s="8" t="inlineStr"/>
    </row>
    <row r="8">
      <c r="A8" s="7" t="inlineStr">
        <is>
          <t>%/DS AOP</t>
        </is>
      </c>
      <c r="B8" s="8" t="inlineStr">
        <is>
          <t>Phần trăm KẾ HOẠCH của chỉ tiêu trên doanh số — lấy trực tiếp tỷ lệ %/doanh số trong bản kế hoạch AOP của chỉ tiêu (theo kỳ, cấp tập đoàn).</t>
        </is>
      </c>
      <c r="C8" s="8" t="inlineStr">
        <is>
          <t>—</t>
        </is>
      </c>
      <c r="D8" s="8" t="inlineStr"/>
      <c r="E8" s="8" t="inlineStr"/>
    </row>
    <row r="9">
      <c r="A9" s="7" t="inlineStr">
        <is>
          <t>Giá trị thực tế</t>
        </is>
      </c>
      <c r="B9" s="8">
        <f> Giá trị thực tế của chỉ tiêu (cách tính từng chỉ tiêu xem khối B bên dưới), CỘNG DỒN từ ĐẦU THÁNG đến ngày được chọn. RIÊNG dòng 'Tỷ lệ Xanh/Đỏ': cột này hiển thị = % doanh số Xanh = Doanh số Xanh ÷ (Doanh số Xanh + Doanh số Đỏ) × 100.</f>
        <v/>
      </c>
      <c r="C9" s="8" t="inlineStr">
        <is>
          <t>Lũy kế trong THÁNG (reset đầu mỗi tháng), đến ngày được chọn ở bộ lọc; đổi ngày → đổi số.</t>
        </is>
      </c>
      <c r="D9" s="8" t="inlineStr"/>
      <c r="E9" s="8" t="inlineStr"/>
    </row>
    <row r="10">
      <c r="A10" s="7" t="inlineStr">
        <is>
          <t>%/ DS thực tế</t>
        </is>
      </c>
      <c r="B10" s="8">
        <f> Giá trị thực tế của chỉ tiêu ÷ Doanh thu thực tế (cùng lũy kế đến ngày được chọn), ra %.</f>
        <v/>
      </c>
      <c r="C10" s="8" t="inlineStr">
        <is>
          <t>Không áp dụng cho 3 dòng: Doanh số (+VAT), Doanh thu, Tỷ lệ Xanh/Đỏ → để trống.</t>
        </is>
      </c>
      <c r="D10" s="8" t="inlineStr"/>
      <c r="E10" s="8" t="inlineStr"/>
    </row>
    <row r="11">
      <c r="A11" s="7" t="inlineStr">
        <is>
          <t>Giá trị thiếu so với AOP</t>
        </is>
      </c>
      <c r="B11" s="8">
        <f> Doanh số AOP (kế hoạch của chỉ tiêu) − Giá trị thực tế của chỉ tiêu. Dương = chưa đạt kế hoạch; riêng các dòng chi phí, số âm = chi VƯỢT kế hoạch.</f>
        <v/>
      </c>
      <c r="C11" s="8" t="inlineStr">
        <is>
          <t>Không áp dụng dòng Tỷ lệ Xanh/Đỏ → để trống.</t>
        </is>
      </c>
      <c r="D11" s="8" t="inlineStr"/>
      <c r="E11" s="8" t="inlineStr"/>
    </row>
    <row r="12">
      <c r="A12" s="7" t="inlineStr">
        <is>
          <t>%/DS (Thiếu so với AOP)</t>
        </is>
      </c>
      <c r="B12" s="8">
        <f> (Doanh số AOP − Giá trị thực tế) ÷ Doanh thu thực tế, ra %.</f>
        <v/>
      </c>
      <c r="C12" s="8" t="inlineStr">
        <is>
          <t>Không áp dụng 3 dòng: Doanh số (+VAT), Doanh thu, Tỷ lệ Xanh/Đỏ → để trống.</t>
        </is>
      </c>
      <c r="D12" s="8" t="inlineStr"/>
      <c r="E12" s="8" t="inlineStr"/>
    </row>
    <row r="13">
      <c r="A13" s="5" t="inlineStr">
        <is>
          <t>B. Các DÒNG chỉ tiêu</t>
        </is>
      </c>
    </row>
    <row r="14" ht="28" customHeight="1">
      <c r="A14" s="6" t="inlineStr">
        <is>
          <t>Cột / Chỉ tiêu</t>
        </is>
      </c>
      <c r="B14" s="6" t="inlineStr">
        <is>
          <t>Cách tính (logic nghiệp vụ)</t>
        </is>
      </c>
      <c r="C14" s="6" t="inlineStr">
        <is>
          <t>Loại trừ / Bộ lọc</t>
        </is>
      </c>
      <c r="D14" s="6" t="inlineStr">
        <is>
          <t>Ghi chú</t>
        </is>
      </c>
      <c r="E14" s="6" t="inlineStr">
        <is>
          <t>KGR xác nhận</t>
        </is>
      </c>
    </row>
    <row r="15">
      <c r="A15" s="7" t="inlineStr">
        <is>
          <t>Doanh số (+VAT)</t>
        </is>
      </c>
      <c r="B15" s="8" t="inlineStr">
        <is>
          <t>Doanh số bán hàng đã gồm thuế GTGT, lũy kế trong tháng đến ngày được chọn. Mỗi dòng = doanh thu thuần của dòng + thuế GTGT đầu ra của dòng (lấy theo SỐ THUẾ GTGT ghi trên từng dòng hóa đơn, tức theo thuế suất của dòng — không phải một suất cố định). Hợp nhất hóa đơn bán (dấu +) và chứng từ điều chỉnh giảm/credit memo (dấu −).</t>
        </is>
      </c>
      <c r="C15" s="8" t="inlineStr">
        <is>
          <t>Chỉ 2 pháp nhân 'CTCP LD Kangaroo Quốc tế' (VU1) và 'Chi nhánh HCM'; chỉ giao dịch đã hạch toán (đã ghi sổ kế toán kỳ tương ứng); loại dòng có vụ việc = Hàng thanh lý (HTL); loại khách hàng được đánh dấu ký gửi; loại giao dịch thuộc kênh nội bộ.</t>
        </is>
      </c>
      <c r="D15" s="8" t="inlineStr"/>
      <c r="E15" s="8" t="inlineStr"/>
    </row>
    <row r="16">
      <c r="A16" s="7" t="inlineStr">
        <is>
          <t>Doanh thu</t>
        </is>
      </c>
      <c r="B16" s="8" t="inlineStr">
        <is>
          <t>Doanh thu THUẦN (chưa VAT) từ bán hàng, lũy kế đến ngày chọn. Mỗi dòng = doanh thu gốc chưa VAT của dòng (giá bán đã trừ chiết khấu trên hóa đơn; các dòng chiết khấu là dòng riêng) × dấu (hóa đơn bán = +, credit memo = −); cộng dồn. Chỉ lấy phát sinh thuộc tài khoản doanh thu.</t>
        </is>
      </c>
      <c r="C16" s="8" t="inlineStr">
        <is>
          <t>Chỉ 2 pháp nhân 'CTCP LD Kangaroo Quốc tế' (VU1) và 'Chi nhánh HCM'; chỉ giao dịch đã hạch toán (đã ghi sổ kế toán kỳ tương ứng); loại dòng có vụ việc = Hàng thanh lý (HTL); loại khách hàng được đánh dấu ký gửi; loại giao dịch thuộc kênh nội bộ.</t>
        </is>
      </c>
      <c r="D16" s="8" t="inlineStr"/>
      <c r="E16" s="8" t="inlineStr"/>
    </row>
    <row r="17">
      <c r="A17" s="7" t="inlineStr">
        <is>
          <t>Giá vốn</t>
        </is>
      </c>
      <c r="B17" s="8" t="inlineStr">
        <is>
          <t>Tổng giá vốn hàng bán, lũy kế đến ngày chọn. Giá vốn 1 dòng = đơn giá vốn × số lượng (lấy trị tuyệt đối số lượng). Đơn giá vốn theo 3 lớp ưu tiên: (1) 'Giá vốn mục tiêu' tra theo mã sản phẩm (MSP) + tháng giao dịch; (2) nếu không có → 'Giá vốn tồn kho' tra theo mã item + pháp nhân + kỳ; (3) nếu vẫn không có → = 50% doanh thu thực tế của dòng. Credit memo lấy dấu âm.</t>
        </is>
      </c>
      <c r="C17" s="8" t="inlineStr">
        <is>
          <t>Hàng tặng (free-gift) mà doanh thu = 0 → giá vốn = 0; dòng chiết khấu → giá vốn = 0; phạm vi pháp nhân/hạch toán như Doanh thu.</t>
        </is>
      </c>
      <c r="D17" s="8" t="inlineStr"/>
      <c r="E17" s="8" t="inlineStr"/>
    </row>
    <row r="18">
      <c r="A18" s="7" t="inlineStr">
        <is>
          <t>Lợi nhuận gộp</t>
        </is>
      </c>
      <c r="B18" s="8">
        <f> Doanh thu − Giá vốn (hai chỉ tiêu cùng bảng, cùng phạm vi/kỳ/lũy kế). Là hiệu của 2 TỔNG cấp tập đoàn — không khớp lại theo từng dòng hóa đơn.</f>
        <v/>
      </c>
      <c r="C18" s="8" t="inlineStr">
        <is>
          <t>—</t>
        </is>
      </c>
      <c r="D18" s="8" t="inlineStr"/>
      <c r="E18" s="8" t="inlineStr"/>
    </row>
    <row r="19">
      <c r="A19" s="7" t="inlineStr">
        <is>
          <t>CP chiết khấu khuyến mại</t>
        </is>
      </c>
      <c r="B19" s="8">
        <f> Doanh thu thực tế của dòng × tỷ lệ CKKM, lũy kế đến ngày chọn. Tỷ lệ CKKM lấy từ chương trình khuyến mãi (trade promotion), là tỷ lệ % TRUNG BÌNH CỘNG theo THÁNG cho từng tổ hợp; khớp vào dòng hóa đơn ưu tiên theo (Model sản phẩm + Kênh bán + kỳ); nếu không có → theo (Model sản phẩm + Chuỗi + kỳ); nếu không có → 0. (Model = cấp model của sản phẩm; Kênh = kênh bán; Chuỗi = chuỗi bán hàng.)</f>
        <v/>
      </c>
      <c r="C19" s="8" t="inlineStr">
        <is>
          <t>Cùng phạm vi với Doanh thu (2 pháp nhân VU1 + HCM; đã hạch toán; loại hàng thanh lý (HTL)/khách ký gửi/kênh nội bộ).</t>
        </is>
      </c>
      <c r="D19" s="8" t="inlineStr"/>
      <c r="E19" s="8" t="inlineStr"/>
    </row>
    <row r="20">
      <c r="A20" s="7" t="inlineStr">
        <is>
          <t>CP nhân viên KD</t>
        </is>
      </c>
      <c r="B20" s="8">
        <f> phần trăm kế hoạch (theo AOP) của chỉ tiêu 'CP nhân viên KD' × Doanh thu thực tế. Phần trăm kế hoạch lấy từ bản kế hoạch AOP (loại 'kế hoạch chi phí'), theo kỳ, cấp tập đoàn.</f>
        <v/>
      </c>
      <c r="C20" s="8" t="inlineStr">
        <is>
          <t>—</t>
        </is>
      </c>
      <c r="D20" s="8" t="inlineStr">
        <is>
          <t>Ước tính theo kế hoạch AOP — không phải chi phí thực phát sinh.</t>
        </is>
      </c>
      <c r="E20" s="8" t="inlineStr"/>
    </row>
    <row r="21">
      <c r="A21" s="7" t="inlineStr">
        <is>
          <t>CP roadshow hội nghị</t>
        </is>
      </c>
      <c r="B21" s="8">
        <f> phần trăm kế hoạch (theo AOP) của chỉ tiêu 'CP roadshow hội nghị' × Doanh thu thực tế.</f>
        <v/>
      </c>
      <c r="C21" s="8" t="inlineStr">
        <is>
          <t>—</t>
        </is>
      </c>
      <c r="D21" s="8" t="inlineStr">
        <is>
          <t>Ước tính theo kế hoạch AOP — không phải chi phí thực phát sinh.</t>
        </is>
      </c>
      <c r="E21" s="8" t="inlineStr"/>
    </row>
    <row r="22">
      <c r="A22" s="7" t="inlineStr">
        <is>
          <t>CP công tác tiếp khách KD</t>
        </is>
      </c>
      <c r="B22" s="8">
        <f> phần trăm kế hoạch (theo AOP) của chỉ tiêu 'CP công tác tiếp khách KD' × Doanh thu thực tế.</f>
        <v/>
      </c>
      <c r="C22" s="8" t="inlineStr">
        <is>
          <t>—</t>
        </is>
      </c>
      <c r="D22" s="8" t="inlineStr">
        <is>
          <t>Ước tính theo kế hoạch AOP — không phải chi phí thực phát sinh.</t>
        </is>
      </c>
      <c r="E22" s="8" t="inlineStr"/>
    </row>
    <row r="23">
      <c r="A23" s="7" t="inlineStr">
        <is>
          <t>Lợi nhuận gộp Kinh doanh</t>
        </is>
      </c>
      <c r="B23" s="8">
        <f> Lợi nhuận gộp − CP chiết khấu khuyến mại − CP nhân viên KD − CP roadshow hội nghị − CP công tác tiếp khách KD.</f>
        <v/>
      </c>
      <c r="C23" s="8" t="inlineStr">
        <is>
          <t>—</t>
        </is>
      </c>
      <c r="D23" s="8" t="inlineStr">
        <is>
          <t>Trong đó CP nhân viên KD / roadshow / công tác là ước tính theo AOP.</t>
        </is>
      </c>
      <c r="E23" s="8" t="inlineStr"/>
    </row>
    <row r="24">
      <c r="A24" s="7" t="inlineStr">
        <is>
          <t>CP xúc tiến bán hàng</t>
        </is>
      </c>
      <c r="B24" s="8">
        <f> (số thứ tự ngày trong tháng của ngày được chọn — ví dụ chọn 16/05 → 16) × (định mức chi phí xúc tiến của THÁNG theo kế hoạch ÷ 30). Mẫu số 30 là quy ước cố định (luôn 30, không đổi theo số ngày thực của tháng). Định mức lấy từ kế hoạch AOP chỉ tiêu 'CP xúc tiến bán hàng', cấp tập đoàn.</f>
        <v/>
      </c>
      <c r="C24" s="8" t="inlineStr">
        <is>
          <t>—</t>
        </is>
      </c>
      <c r="D24" s="8" t="inlineStr">
        <is>
          <t>Ước tính theo kế hoạch AOP — không phải chi phí thực phát sinh.</t>
        </is>
      </c>
      <c r="E24" s="8" t="inlineStr"/>
    </row>
    <row r="25">
      <c r="A25" s="7" t="inlineStr">
        <is>
          <t>Lợi nhuận xúc tiến bán hàng</t>
        </is>
      </c>
      <c r="B25" s="8">
        <f> Lợi nhuận gộp Kinh doanh − CP xúc tiến bán hàng.</f>
        <v/>
      </c>
      <c r="C25" s="8" t="inlineStr">
        <is>
          <t>—</t>
        </is>
      </c>
      <c r="D25" s="8" t="inlineStr"/>
      <c r="E25" s="8" t="inlineStr"/>
    </row>
    <row r="26">
      <c r="A26" s="7" t="inlineStr">
        <is>
          <t>CP nhân viên BO</t>
        </is>
      </c>
      <c r="B26" s="8">
        <f> (số thứ tự ngày trong tháng của ngày được chọn) × (định mức chi phí nhân viên back-office của THÁNG theo kế hoạch ÷ 30). Mẫu số 30 cố định. Định mức lấy từ kế hoạch AOP chỉ tiêu 'CP nhân viên BO', cấp tập đoàn. Nếu tháng đó không có định mức → 0.</f>
        <v/>
      </c>
      <c r="C26" s="8" t="inlineStr">
        <is>
          <t>—</t>
        </is>
      </c>
      <c r="D26" s="8" t="inlineStr">
        <is>
          <t>Ước tính theo kế hoạch AOP — không phải chi phí thực phát sinh.</t>
        </is>
      </c>
      <c r="E26" s="8" t="inlineStr"/>
    </row>
    <row r="27">
      <c r="A27" s="7" t="inlineStr">
        <is>
          <t>Lợi nhuận nhân viên</t>
        </is>
      </c>
      <c r="B27" s="8">
        <f> Lợi nhuận xúc tiến bán hàng − CP nhân viên BO.</f>
        <v/>
      </c>
      <c r="C27" s="8" t="inlineStr">
        <is>
          <t>—</t>
        </is>
      </c>
      <c r="D27" s="8" t="inlineStr"/>
      <c r="E27" s="8" t="inlineStr"/>
    </row>
    <row r="28">
      <c r="A28" s="7" t="inlineStr">
        <is>
          <t>CP quản lý vận hành</t>
        </is>
      </c>
      <c r="B28" s="8" t="inlineStr">
        <is>
          <t>Dòng tổng hợp = CP vận chuyển + CP bảo hành + CP tài chính + CP dự phòng tồn kho thanh lý + CP khác (5 thành phần xem các dòng tương ứng bên dưới).</t>
        </is>
      </c>
      <c r="C28" s="8" t="inlineStr">
        <is>
          <t>—</t>
        </is>
      </c>
      <c r="D28" s="8" t="inlineStr">
        <is>
          <t>Các thành phần là chi phí ước tính theo AOP / định mức.</t>
        </is>
      </c>
      <c r="E28" s="8" t="inlineStr"/>
    </row>
    <row r="29">
      <c r="A29" s="7" t="inlineStr">
        <is>
          <t>CP vận chuyển</t>
        </is>
      </c>
      <c r="B29" s="8">
        <f> phần trăm kế hoạch (theo AOP) của chỉ tiêu 'CP vận chuyển' × Doanh thu thực tế.</f>
        <v/>
      </c>
      <c r="C29" s="8" t="inlineStr">
        <is>
          <t>—</t>
        </is>
      </c>
      <c r="D29" s="8" t="inlineStr">
        <is>
          <t>Ước tính theo kế hoạch AOP — không phải chi phí thực phát sinh.</t>
        </is>
      </c>
      <c r="E29" s="8" t="inlineStr"/>
    </row>
    <row r="30">
      <c r="A30" s="7" t="inlineStr">
        <is>
          <t>CP bảo hành</t>
        </is>
      </c>
      <c r="B30" s="8">
        <f> phần trăm kế hoạch (theo AOP) của chỉ tiêu 'CP bảo hành' × Doanh thu thực tế.</f>
        <v/>
      </c>
      <c r="C30" s="8" t="inlineStr">
        <is>
          <t>—</t>
        </is>
      </c>
      <c r="D30" s="8" t="inlineStr">
        <is>
          <t>Ước tính theo kế hoạch AOP — không phải chi phí thực phát sinh.</t>
        </is>
      </c>
      <c r="E30" s="8" t="inlineStr"/>
    </row>
    <row r="31">
      <c r="A31" s="7" t="inlineStr">
        <is>
          <t>CP tài chính</t>
        </is>
      </c>
      <c r="B31" s="8">
        <f> phần trăm kế hoạch (theo AOP) của chỉ tiêu 'CP tài chính' × Doanh thu thực tế.</f>
        <v/>
      </c>
      <c r="C31" s="8" t="inlineStr">
        <is>
          <t>—</t>
        </is>
      </c>
      <c r="D31" s="8" t="inlineStr">
        <is>
          <t>Ước tính theo kế hoạch AOP — không phải chi phí thực phát sinh.</t>
        </is>
      </c>
      <c r="E31" s="8" t="inlineStr"/>
    </row>
    <row r="32">
      <c r="A32" s="7" t="inlineStr">
        <is>
          <t>CP khác</t>
        </is>
      </c>
      <c r="B32" s="8">
        <f> (số thứ tự ngày trong tháng của ngày được chọn) × (định mức 'chi phí khác' của THÁNG theo kế hoạch ÷ 30). Mẫu số 30 cố định.</f>
        <v/>
      </c>
      <c r="C32" s="8" t="inlineStr">
        <is>
          <t>—</t>
        </is>
      </c>
      <c r="D32" s="8" t="inlineStr">
        <is>
          <t>Ước tính theo kế hoạch AOP — không phải chi phí thực phát sinh.</t>
        </is>
      </c>
      <c r="E32" s="8" t="inlineStr"/>
    </row>
    <row r="33">
      <c r="A33" s="7" t="inlineStr">
        <is>
          <t>Thu nhập khác</t>
        </is>
      </c>
      <c r="B33" s="8" t="inlineStr">
        <is>
          <t>Doanh thu thuần của các dòng thuộc ngành 'Khác', lũy kế đến ngày chọn. Ngành 'Khác' = phần ngoài 4 ngành hàng chính (Water care, Home care, Cold &amp; Hygiene care, Sanitary care). Ngành của mỗi dòng xác định theo phân loại ngành (CLASS) ghi trên dòng hóa đơn tại thời điểm phát sinh.</t>
        </is>
      </c>
      <c r="C33" s="8" t="inlineStr">
        <is>
          <t>Cùng phạm vi với Doanh thu.</t>
        </is>
      </c>
      <c r="D33" s="8" t="inlineStr">
        <is>
          <t>Phần doanh thu ngành Khác này được CỘNG vào khi tính 'Lợi nhuận quản lý vận hành'.</t>
        </is>
      </c>
      <c r="E33" s="8" t="inlineStr"/>
    </row>
    <row r="34">
      <c r="A34" s="7" t="inlineStr">
        <is>
          <t>Lợi nhuận quản lý vận hành</t>
        </is>
      </c>
      <c r="B34" s="8">
        <f> Lợi nhuận nhân viên − CP quản lý vận hành + Thu nhập khác.</f>
        <v/>
      </c>
      <c r="C34" s="8" t="inlineStr">
        <is>
          <t>—</t>
        </is>
      </c>
      <c r="D34" s="8" t="inlineStr"/>
      <c r="E34" s="8" t="inlineStr"/>
    </row>
    <row r="35">
      <c r="A35" s="7" t="inlineStr">
        <is>
          <t>CP dự phòng hoạt động năm trước</t>
        </is>
      </c>
      <c r="B35" s="8">
        <f> 21% × Lợi nhuận quản lý vận hành.</f>
        <v/>
      </c>
      <c r="C35" s="8" t="inlineStr">
        <is>
          <t>—</t>
        </is>
      </c>
      <c r="D35" s="8" t="inlineStr">
        <is>
          <t>Định mức 21% cố định; áp trên Lợi nhuận quản lý vận hành của KỲ HIỆN TẠI (tên dòng theo nhãn báo cáo).</t>
        </is>
      </c>
      <c r="E35" s="8" t="inlineStr"/>
    </row>
    <row r="36">
      <c r="A36" s="7" t="inlineStr">
        <is>
          <t>Lợi nhuận trước thuế</t>
        </is>
      </c>
      <c r="B36" s="8">
        <f> Lợi nhuận quản lý vận hành − CP dự phòng hoạt động năm trước.</f>
        <v/>
      </c>
      <c r="C36" s="8" t="inlineStr">
        <is>
          <t>—</t>
        </is>
      </c>
      <c r="D36" s="8" t="inlineStr"/>
      <c r="E36" s="8" t="inlineStr"/>
    </row>
    <row r="37">
      <c r="A37" s="7" t="inlineStr">
        <is>
          <t>Lợi nhuận sau thuế</t>
        </is>
      </c>
      <c r="B37" s="8">
        <f> Nếu Lợi nhuận trước thuế &gt; 0 thì giữ lại 80% (× 0,8); nếu ≤ 0 thì giữ nguyên.</f>
        <v/>
      </c>
      <c r="C37" s="8" t="inlineStr">
        <is>
          <t>—</t>
        </is>
      </c>
      <c r="D37" s="8" t="inlineStr">
        <is>
          <t>Giữ lại 80% là QUY ƯỚC cố định trong báo cáo (không phải thuế suất thuế TNDN thực).</t>
        </is>
      </c>
      <c r="E37" s="8" t="inlineStr"/>
    </row>
    <row r="38">
      <c r="A38" s="7" t="inlineStr">
        <is>
          <t>Tỷ lệ Xanh/Đỏ</t>
        </is>
      </c>
      <c r="B38" s="8" t="inlineStr">
        <is>
          <t>Giá trị gốc = Doanh số nhóm Xanh ÷ Doanh số nhóm Đỏ (nếu Đỏ = 0 → để trống). Trên báo cáo, cột 'Giá trị thực tế' quy đổi thành % doanh số Xanh = Doanh số Xanh ÷ (Doanh số Xanh + Doanh số Đỏ) × 100.</t>
        </is>
      </c>
      <c r="C38" s="8" t="inlineStr">
        <is>
          <t>Chỉ sản phẩm có phân loại Xanh/Đỏ (mỗi SP luôn thuộc 1 trong 2).</t>
        </is>
      </c>
      <c r="D38" s="8" t="inlineStr"/>
      <c r="E38" s="8" t="inlineStr"/>
    </row>
    <row r="39">
      <c r="A39" s="7" t="inlineStr">
        <is>
          <t>CP dự phòng tồn kho thanh lý</t>
        </is>
      </c>
      <c r="B39" s="8">
        <f> 1,5% × Doanh thu thực tế.</f>
        <v/>
      </c>
      <c r="C39" s="8" t="inlineStr">
        <is>
          <t>—</t>
        </is>
      </c>
      <c r="D39" s="8" t="inlineStr">
        <is>
          <t>Định mức 1,5% cố định; là một thành phần của 'CP quản lý vận hành'.</t>
        </is>
      </c>
      <c r="E39" s="8" t="inlineStr"/>
    </row>
  </sheetData>
  <mergeCells count="2">
    <mergeCell ref="A13:E13"/>
    <mergeCell ref="A3:E3"/>
  </mergeCells>
  <dataValidations count="1">
    <dataValidation sqref="E4:E40"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9"/>
  <sheetViews>
    <sheetView workbookViewId="0">
      <pane ySplit="2" topLeftCell="A3" activePane="bottomLeft" state="frozen"/>
      <selection pane="bottomLeft" activeCell="A1" sqref="A1"/>
    </sheetView>
  </sheetViews>
  <sheetFormatPr baseColWidth="8" defaultRowHeight="15"/>
  <cols>
    <col width="26" customWidth="1" min="1" max="1"/>
    <col width="70" customWidth="1" min="2" max="2"/>
    <col width="40" customWidth="1" min="3" max="3"/>
    <col width="34" customWidth="1" min="4" max="4"/>
    <col width="12" customWidth="1" min="5" max="5"/>
  </cols>
  <sheetData>
    <row r="1">
      <c r="A1" s="4" t="inlineStr">
        <is>
          <t>(KGR) BRD.BC01_Daily_Summary v1.1 · BC01_Summary_Ngành · 4 pivot theo ngành: HOME / WATER / COLD &amp; HYGEN / SANITARY CARE — mỗi pivot áp đúng công thức dưới đây, LỌC THEO NGÀNH tương ứng</t>
        </is>
      </c>
    </row>
    <row r="3">
      <c r="A3" s="5" t="inlineStr">
        <is>
          <t>A. Các CỘT giá trị</t>
        </is>
      </c>
    </row>
    <row r="4" ht="28" customHeight="1">
      <c r="A4" s="6" t="inlineStr">
        <is>
          <t>Cột / Chỉ tiêu</t>
        </is>
      </c>
      <c r="B4" s="6" t="inlineStr">
        <is>
          <t>Cách tính (logic nghiệp vụ)</t>
        </is>
      </c>
      <c r="C4" s="6" t="inlineStr">
        <is>
          <t>Loại trừ / Bộ lọc</t>
        </is>
      </c>
      <c r="D4" s="6" t="inlineStr">
        <is>
          <t>Ghi chú</t>
        </is>
      </c>
      <c r="E4" s="6" t="inlineStr">
        <is>
          <t>KGR xác nhận</t>
        </is>
      </c>
    </row>
    <row r="5">
      <c r="A5" s="7" t="inlineStr">
        <is>
          <t>No.</t>
        </is>
      </c>
      <c r="B5" s="8" t="inlineStr">
        <is>
          <t>Số thứ tự dòng chỉ tiêu (1→25), cố định; chỉ để sắp xếp.</t>
        </is>
      </c>
      <c r="C5" s="8" t="inlineStr">
        <is>
          <t>—</t>
        </is>
      </c>
      <c r="D5" s="8" t="inlineStr"/>
      <c r="E5" s="8" t="inlineStr"/>
    </row>
    <row r="6">
      <c r="A6" s="7" t="inlineStr">
        <is>
          <t>Tên chỉ tiêu</t>
        </is>
      </c>
      <c r="B6" s="8" t="inlineStr">
        <is>
          <t>Nhãn chỉ tiêu của dòng; 25 chỉ tiêu P&amp;L cố định (như báo cáo tập đoàn).</t>
        </is>
      </c>
      <c r="C6" s="8" t="inlineStr">
        <is>
          <t>—</t>
        </is>
      </c>
      <c r="D6" s="8" t="inlineStr"/>
      <c r="E6" s="8" t="inlineStr"/>
    </row>
    <row r="7">
      <c r="A7" s="7" t="inlineStr">
        <is>
          <t>Doanh số AOP</t>
        </is>
      </c>
      <c r="B7" s="8" t="inlineStr">
        <is>
          <t>Giá trị KẾ HOẠCH (AOP) của chỉ tiêu cho RIÊNG ngành của pivot, trong kỳ (cấp ngành). Nếu chưa có kế hoạch → để trống.</t>
        </is>
      </c>
      <c r="C7" s="8" t="inlineStr">
        <is>
          <t>—</t>
        </is>
      </c>
      <c r="D7" s="8" t="inlineStr">
        <is>
          <t>Là số kế hoạch.</t>
        </is>
      </c>
      <c r="E7" s="8" t="inlineStr"/>
    </row>
    <row r="8">
      <c r="A8" s="7" t="inlineStr">
        <is>
          <t>%/DS AOP</t>
        </is>
      </c>
      <c r="B8" s="8">
        <f> Giá trị kế hoạch của chỉ tiêu (ngành) ÷ Doanh số kế hoạch của ngành, ra %.</f>
        <v/>
      </c>
      <c r="C8" s="8" t="inlineStr">
        <is>
          <t>—</t>
        </is>
      </c>
      <c r="D8" s="8" t="inlineStr"/>
      <c r="E8" s="8" t="inlineStr"/>
    </row>
    <row r="9">
      <c r="A9" s="7" t="inlineStr">
        <is>
          <t>Giá trị thực tế</t>
        </is>
      </c>
      <c r="B9" s="8">
        <f> Giá trị thực tế của chỉ tiêu CHO RIÊNG NGÀNH (cách tính từng chỉ tiêu xem khối B), cộng dồn từ ĐẦU THÁNG đến ngày được chọn. RIÊNG dòng 'Tỷ lệ Xanh/Đỏ': hiển thị = % doanh số Xanh của ngành = DS Xanh ÷ (DS Xanh + DS Đỏ) × 100.</f>
        <v/>
      </c>
      <c r="C9" s="8" t="inlineStr">
        <is>
          <t>Lũy kế trong tháng (reset đầu tháng), đến ngày được chọn.</t>
        </is>
      </c>
      <c r="D9" s="8" t="inlineStr"/>
      <c r="E9" s="8" t="inlineStr"/>
    </row>
    <row r="10">
      <c r="A10" s="7" t="inlineStr">
        <is>
          <t>%/ DS thực tế</t>
        </is>
      </c>
      <c r="B10" s="8">
        <f> Giá trị thực tế của chỉ tiêu (ngành) ÷ Doanh thu thực tế của NGÀNH, ra %.</f>
        <v/>
      </c>
      <c r="C10" s="8" t="inlineStr">
        <is>
          <t>Không áp dụng 3 dòng: Doanh số (+VAT), Doanh thu, Tỷ lệ Xanh/Đỏ → để trống.</t>
        </is>
      </c>
      <c r="D10" s="8" t="inlineStr"/>
      <c r="E10" s="8" t="inlineStr"/>
    </row>
    <row r="11">
      <c r="A11" s="7" t="inlineStr">
        <is>
          <t>Giá trị thiếu so với AOP</t>
        </is>
      </c>
      <c r="B11" s="8">
        <f> Doanh số AOP (kế hoạch của chỉ tiêu, ngành) − Giá trị thực tế (ngành). Dương = chưa đạt KH; dòng chi phí âm = chi vượt KH.</f>
        <v/>
      </c>
      <c r="C11" s="8" t="inlineStr">
        <is>
          <t>Không áp dụng dòng Tỷ lệ Xanh/Đỏ → để trống.</t>
        </is>
      </c>
      <c r="D11" s="8" t="inlineStr"/>
      <c r="E11" s="8" t="inlineStr"/>
    </row>
    <row r="12">
      <c r="A12" s="7" t="inlineStr">
        <is>
          <t>%/DS (Thiếu so với AOP)</t>
        </is>
      </c>
      <c r="B12" s="8">
        <f> (Doanh số AOP − Giá trị thực tế) (ngành) ÷ Doanh thu thực tế của ngành, ra %.</f>
        <v/>
      </c>
      <c r="C12" s="8" t="inlineStr">
        <is>
          <t>Không áp dụng 3 dòng: Doanh số (+VAT), Doanh thu, Tỷ lệ Xanh/Đỏ → để trống.</t>
        </is>
      </c>
      <c r="D12" s="8" t="inlineStr"/>
      <c r="E12" s="8" t="inlineStr"/>
    </row>
    <row r="13">
      <c r="A13" s="5" t="inlineStr">
        <is>
          <t>B. Các DÒNG chỉ tiêu</t>
        </is>
      </c>
    </row>
    <row r="14" ht="28" customHeight="1">
      <c r="A14" s="6" t="inlineStr">
        <is>
          <t>Cột / Chỉ tiêu</t>
        </is>
      </c>
      <c r="B14" s="6" t="inlineStr">
        <is>
          <t>Cách tính (logic nghiệp vụ)</t>
        </is>
      </c>
      <c r="C14" s="6" t="inlineStr">
        <is>
          <t>Loại trừ / Bộ lọc</t>
        </is>
      </c>
      <c r="D14" s="6" t="inlineStr">
        <is>
          <t>Ghi chú</t>
        </is>
      </c>
      <c r="E14" s="6" t="inlineStr">
        <is>
          <t>KGR xác nhận</t>
        </is>
      </c>
    </row>
    <row r="15">
      <c r="A15" s="7" t="inlineStr">
        <is>
          <t>Doanh số (+VAT)</t>
        </is>
      </c>
      <c r="B15" s="8" t="inlineStr">
        <is>
          <t>Doanh số bán hàng gồm thuế GTGT CỦA RIÊNG NGÀNH, lũy kế trong tháng đến ngày chọn. Mỗi dòng = doanh thu thuần + thuế GTGT đầu ra (theo số thuế ghi trên dòng hóa đơn). Hợp nhất hóa đơn (dấu +) và credit memo (dấu −).</t>
        </is>
      </c>
      <c r="C15" s="8" t="inlineStr">
        <is>
          <t>Lọc THEO NGÀNH của pivot (Home/Water/Cold&amp;Hygiene/Sanitary care); và phạm vi chung: chỉ 2 pháp nhân 'CTCP LD Kangaroo Quốc tế' (VU1) + 'Chi nhánh HCM'; chỉ giao dịch đã hạch toán; loại hàng thanh lý (HTL)/khách ký gửi/kênh nội bộ.</t>
        </is>
      </c>
      <c r="D15" s="8" t="inlineStr"/>
      <c r="E15" s="8" t="inlineStr"/>
    </row>
    <row r="16">
      <c r="A16" s="7" t="inlineStr">
        <is>
          <t>Doanh thu</t>
        </is>
      </c>
      <c r="B16" s="8" t="inlineStr">
        <is>
          <t>Doanh thu THUẦN (chưa VAT) của riêng ngành, lũy kế đến ngày chọn (hóa đơn − credit memo, doanh thu gốc đã trừ chiết khấu trên hóa đơn).</t>
        </is>
      </c>
      <c r="C16" s="8" t="inlineStr">
        <is>
          <t>Lọc THEO NGÀNH của pivot (Home/Water/Cold&amp;Hygiene/Sanitary care); và phạm vi chung: chỉ 2 pháp nhân 'CTCP LD Kangaroo Quốc tế' (VU1) + 'Chi nhánh HCM'; chỉ giao dịch đã hạch toán; loại hàng thanh lý (HTL)/khách ký gửi/kênh nội bộ.</t>
        </is>
      </c>
      <c r="D16" s="8" t="inlineStr"/>
      <c r="E16" s="8" t="inlineStr"/>
    </row>
    <row r="17">
      <c r="A17" s="7" t="inlineStr">
        <is>
          <t>Giá vốn</t>
        </is>
      </c>
      <c r="B17" s="8" t="inlineStr">
        <is>
          <t>Tổng giá vốn hàng bán của riêng ngành. Giá vốn 1 dòng = đơn giá vốn × |số lượng|; đơn giá theo 3 lớp: (1) 'Giá vốn mục tiêu' tra mã SP (MSP)+tháng; (2) thiếu → 'Giá vốn tồn kho' tra mã item+pháp nhân+kỳ; (3) thiếu → 50% doanh thu của dòng. Credit memo âm.</t>
        </is>
      </c>
      <c r="C17" s="8" t="inlineStr">
        <is>
          <t>Hàng tặng (DT=0)/dòng chiết khấu → 0; lọc theo ngành + phạm vi như Doanh thu.</t>
        </is>
      </c>
      <c r="D17" s="8" t="inlineStr"/>
      <c r="E17" s="8" t="inlineStr"/>
    </row>
    <row r="18">
      <c r="A18" s="7" t="inlineStr">
        <is>
          <t>Lợi nhuận gộp</t>
        </is>
      </c>
      <c r="B18" s="8">
        <f> Doanh thu (ngành) − Giá vốn (ngành). Là hiệu của 2 tổng cấp ngành — không khớp lại theo từng dòng hóa đơn.</f>
        <v/>
      </c>
      <c r="C18" s="8" t="inlineStr">
        <is>
          <t>—</t>
        </is>
      </c>
      <c r="D18" s="8" t="inlineStr"/>
      <c r="E18" s="8" t="inlineStr"/>
    </row>
    <row r="19">
      <c r="A19" s="7" t="inlineStr">
        <is>
          <t>CP chiết khấu khuyến mại</t>
        </is>
      </c>
      <c r="B19" s="8">
        <f> Doanh thu thực tế của dòng (ngành) × tỷ lệ CKKM. Tỷ lệ CKKM từ chương trình khuyến mãi (trade promotion), trung bình cộng theo tháng; ưu tiên (Model SP + Kênh + kỳ) → (Model SP + Chuỗi + kỳ) → 0.</f>
        <v/>
      </c>
      <c r="C19" s="8" t="inlineStr">
        <is>
          <t>Lọc theo ngành + phạm vi như Doanh thu.</t>
        </is>
      </c>
      <c r="D19" s="8" t="inlineStr"/>
      <c r="E19" s="8" t="inlineStr"/>
    </row>
    <row r="20">
      <c r="A20" s="7" t="inlineStr">
        <is>
          <t>CP nhân viên KD</t>
        </is>
      </c>
      <c r="B20" s="8">
        <f> phần trăm kế hoạch (theo AOP) của chỉ tiêu 'CP nhân viên KD' × Doanh thu thực tế CỦA NGÀNH.</f>
        <v/>
      </c>
      <c r="C20" s="8" t="inlineStr">
        <is>
          <t>—</t>
        </is>
      </c>
      <c r="D20" s="8" t="inlineStr">
        <is>
          <t>Ước tính theo kế hoạch AOP — không phải chi phí thực phát sinh.</t>
        </is>
      </c>
      <c r="E20" s="8" t="inlineStr"/>
    </row>
    <row r="21">
      <c r="A21" s="7" t="inlineStr">
        <is>
          <t>CP roadshow hội nghị</t>
        </is>
      </c>
      <c r="B21" s="8">
        <f> phần trăm kế hoạch (theo AOP) của chỉ tiêu 'CP roadshow hội nghị' × Doanh thu thực tế của ngành.</f>
        <v/>
      </c>
      <c r="C21" s="8" t="inlineStr">
        <is>
          <t>—</t>
        </is>
      </c>
      <c r="D21" s="8" t="inlineStr">
        <is>
          <t>Ước tính theo kế hoạch AOP — không phải chi phí thực phát sinh.</t>
        </is>
      </c>
      <c r="E21" s="8" t="inlineStr"/>
    </row>
    <row r="22">
      <c r="A22" s="7" t="inlineStr">
        <is>
          <t>CP công tác tiếp khách KD</t>
        </is>
      </c>
      <c r="B22" s="8">
        <f> phần trăm kế hoạch (theo AOP) của chỉ tiêu 'CP công tác tiếp khách KD' × Doanh thu thực tế của ngành.</f>
        <v/>
      </c>
      <c r="C22" s="8" t="inlineStr">
        <is>
          <t>—</t>
        </is>
      </c>
      <c r="D22" s="8" t="inlineStr">
        <is>
          <t>Ước tính theo kế hoạch AOP — không phải chi phí thực phát sinh.</t>
        </is>
      </c>
      <c r="E22" s="8" t="inlineStr"/>
    </row>
    <row r="23">
      <c r="A23" s="7" t="inlineStr">
        <is>
          <t>Lợi nhuận gộp Kinh doanh</t>
        </is>
      </c>
      <c r="B23" s="8">
        <f> Lợi nhuận gộp − CP chiết khấu khuyến mại − CP nhân viên KD − CP roadshow hội nghị − CP công tác tiếp khách KD (tất cả của ngành).</f>
        <v/>
      </c>
      <c r="C23" s="8" t="inlineStr">
        <is>
          <t>—</t>
        </is>
      </c>
      <c r="D23" s="8" t="inlineStr">
        <is>
          <t>Gồm các chi phí ước tính theo AOP.</t>
        </is>
      </c>
      <c r="E23" s="8" t="inlineStr"/>
    </row>
    <row r="24">
      <c r="A24" s="7" t="inlineStr">
        <is>
          <t>CP xúc tiến bán hàng</t>
        </is>
      </c>
      <c r="B24" s="8">
        <f> CP xúc tiến bán hàng của TẬP ĐOÀN × (Doanh số KẾ HOẠCH của ngành ÷ Doanh số KẾ HOẠCH của tập đoàn). (CP xúc tiến tập đoàn = số ngày trong tháng đến ngày chọn × định mức tháng theo AOP ÷ 30.)</f>
        <v/>
      </c>
      <c r="C24" s="8" t="inlineStr">
        <is>
          <t>—</t>
        </is>
      </c>
      <c r="D24" s="8" t="inlineStr">
        <is>
          <t>Ước tính theo AOP, phân bổ cho ngành theo tỷ trọng Doanh số KẾ HOẠCH (AOP) của ngành.</t>
        </is>
      </c>
      <c r="E24" s="8" t="inlineStr"/>
    </row>
    <row r="25">
      <c r="A25" s="7" t="inlineStr">
        <is>
          <t>Lợi nhuận xúc tiến bán hàng</t>
        </is>
      </c>
      <c r="B25" s="8">
        <f> Lợi nhuận gộp Kinh doanh − CP xúc tiến bán hàng (ngành).</f>
        <v/>
      </c>
      <c r="C25" s="8" t="inlineStr">
        <is>
          <t>—</t>
        </is>
      </c>
      <c r="D25" s="8" t="inlineStr"/>
      <c r="E25" s="8" t="inlineStr"/>
    </row>
    <row r="26">
      <c r="A26" s="7" t="inlineStr">
        <is>
          <t>CP nhân viên BO</t>
        </is>
      </c>
      <c r="B26" s="8">
        <f> CP nhân viên BO của TẬP ĐOÀN × (Doanh số KẾ HOẠCH của ngành ÷ Doanh số KẾ HOẠCH của tập đoàn).</f>
        <v/>
      </c>
      <c r="C26" s="8" t="inlineStr">
        <is>
          <t>—</t>
        </is>
      </c>
      <c r="D26" s="8" t="inlineStr">
        <is>
          <t>Ước tính theo AOP, phân bổ cho ngành theo tỷ trọng Doanh số KẾ HOẠCH (AOP) của ngành.</t>
        </is>
      </c>
      <c r="E26" s="8" t="inlineStr"/>
    </row>
    <row r="27">
      <c r="A27" s="7" t="inlineStr">
        <is>
          <t>Lợi nhuận nhân viên</t>
        </is>
      </c>
      <c r="B27" s="8">
        <f> Lợi nhuận xúc tiến bán hàng − CP nhân viên BO (ngành).</f>
        <v/>
      </c>
      <c r="C27" s="8" t="inlineStr">
        <is>
          <t>—</t>
        </is>
      </c>
      <c r="D27" s="8" t="inlineStr"/>
      <c r="E27" s="8" t="inlineStr"/>
    </row>
    <row r="28">
      <c r="A28" s="7" t="inlineStr">
        <is>
          <t>CP quản lý vận hành</t>
        </is>
      </c>
      <c r="B28" s="8" t="inlineStr">
        <is>
          <t>Dòng tổng hợp = TỔNG ĐÚNG 5 dòng chi phí bên dưới trong bảng này (CÙNG GIÁ TRỊ với các dòng đó): 'CP vận chuyển' + 'CP bảo hành' + 'CP tài chính' + 'CP dự phòng tồn kho thanh lý' + 'CP khác'.</t>
        </is>
      </c>
      <c r="C28" s="8" t="inlineStr">
        <is>
          <t>—</t>
        </is>
      </c>
      <c r="D28" s="8" t="inlineStr">
        <is>
          <t>Các thành phần đều là chi phí ước tính theo AOP/định mức — xem đúng từng dòng tương ứng.</t>
        </is>
      </c>
      <c r="E28" s="8" t="inlineStr"/>
    </row>
    <row r="29">
      <c r="A29" s="7" t="inlineStr">
        <is>
          <t>CP vận chuyển</t>
        </is>
      </c>
      <c r="B29" s="8">
        <f> phần trăm kế hoạch (theo AOP) của chỉ tiêu 'CP vận chuyển' × Doanh thu thực tế của ngành.</f>
        <v/>
      </c>
      <c r="C29" s="8" t="inlineStr">
        <is>
          <t>—</t>
        </is>
      </c>
      <c r="D29" s="8" t="inlineStr">
        <is>
          <t>Ước tính theo kế hoạch AOP — không phải chi phí thực phát sinh.</t>
        </is>
      </c>
      <c r="E29" s="8" t="inlineStr"/>
    </row>
    <row r="30">
      <c r="A30" s="7" t="inlineStr">
        <is>
          <t>CP bảo hành</t>
        </is>
      </c>
      <c r="B30" s="8">
        <f> phần trăm kế hoạch (theo AOP) của chỉ tiêu 'CP bảo hành' × Doanh thu thực tế của ngành.</f>
        <v/>
      </c>
      <c r="C30" s="8" t="inlineStr">
        <is>
          <t>—</t>
        </is>
      </c>
      <c r="D30" s="8" t="inlineStr">
        <is>
          <t>Ước tính theo kế hoạch AOP — không phải chi phí thực phát sinh.</t>
        </is>
      </c>
      <c r="E30" s="8" t="inlineStr"/>
    </row>
    <row r="31">
      <c r="A31" s="7" t="inlineStr">
        <is>
          <t>CP tài chính</t>
        </is>
      </c>
      <c r="B31" s="8">
        <f> phần trăm kế hoạch (theo AOP) của chỉ tiêu 'CP tài chính' × Doanh thu thực tế của ngành.</f>
        <v/>
      </c>
      <c r="C31" s="8" t="inlineStr">
        <is>
          <t>—</t>
        </is>
      </c>
      <c r="D31" s="8" t="inlineStr">
        <is>
          <t>Ước tính theo kế hoạch AOP — không phải chi phí thực phát sinh.</t>
        </is>
      </c>
      <c r="E31" s="8" t="inlineStr"/>
    </row>
    <row r="32">
      <c r="A32" s="7" t="inlineStr">
        <is>
          <t>CP khác</t>
        </is>
      </c>
      <c r="B32" s="8">
        <f> CP khác của TẬP ĐOÀN × (Doanh số KẾ HOẠCH của ngành ÷ Doanh số KẾ HOẠCH của tập đoàn).</f>
        <v/>
      </c>
      <c r="C32" s="8" t="inlineStr">
        <is>
          <t>—</t>
        </is>
      </c>
      <c r="D32" s="8" t="inlineStr">
        <is>
          <t>Ước tính theo AOP, phân bổ cho ngành theo tỷ trọng Doanh số KẾ HOẠCH (AOP) của ngành.</t>
        </is>
      </c>
      <c r="E32" s="8" t="inlineStr"/>
    </row>
    <row r="33">
      <c r="A33" s="7" t="inlineStr">
        <is>
          <t>Thu nhập khác</t>
        </is>
      </c>
      <c r="B33" s="8">
        <f> Thu nhập khác của TẬP ĐOÀN × (Doanh số KẾ HOẠCH của ngành ÷ Doanh số KẾ HOẠCH của tập đoàn). 'Thu nhập khác của tập đoàn' = doanh thu của các dòng thuộc ngành 'Khác' (ngoài 4 ngành chính Water/Home/Cold &amp; Hygiene/Sanitary care; ngành xác định theo phân loại ngành ghi trên dòng hóa đơn), lũy kế đến ngày chọn, cùng phạm vi loại trừ như Doanh thu.</f>
        <v/>
      </c>
      <c r="C33" s="8" t="inlineStr">
        <is>
          <t>—</t>
        </is>
      </c>
      <c r="D33" s="8" t="inlineStr">
        <is>
          <t>Phân bổ về ngành theo tỷ trọng AOP doanh số; được cộng khi tính Lợi nhuận quản lý vận hành.</t>
        </is>
      </c>
      <c r="E33" s="8" t="inlineStr"/>
    </row>
    <row r="34">
      <c r="A34" s="7" t="inlineStr">
        <is>
          <t>Lợi nhuận quản lý vận hành</t>
        </is>
      </c>
      <c r="B34" s="8">
        <f> Lợi nhuận nhân viên − CP quản lý vận hành + Thu nhập khác (ngành).</f>
        <v/>
      </c>
      <c r="C34" s="8" t="inlineStr">
        <is>
          <t>—</t>
        </is>
      </c>
      <c r="D34" s="8" t="inlineStr"/>
      <c r="E34" s="8" t="inlineStr"/>
    </row>
    <row r="35">
      <c r="A35" s="7" t="inlineStr">
        <is>
          <t>CP dự phòng hoạt động năm trước</t>
        </is>
      </c>
      <c r="B35" s="8">
        <f> 21% × Lợi nhuận quản lý vận hành (ngành).</f>
        <v/>
      </c>
      <c r="C35" s="8" t="inlineStr">
        <is>
          <t>—</t>
        </is>
      </c>
      <c r="D35" s="8" t="inlineStr">
        <is>
          <t>Định mức 21% cố định; áp trên LN quản lý vận hành kỳ hiện tại (tên dòng theo nhãn báo cáo).</t>
        </is>
      </c>
      <c r="E35" s="8" t="inlineStr"/>
    </row>
    <row r="36">
      <c r="A36" s="7" t="inlineStr">
        <is>
          <t>Lợi nhuận trước thuế</t>
        </is>
      </c>
      <c r="B36" s="8">
        <f> Lợi nhuận quản lý vận hành − CP dự phòng hoạt động năm trước (ngành).</f>
        <v/>
      </c>
      <c r="C36" s="8" t="inlineStr">
        <is>
          <t>—</t>
        </is>
      </c>
      <c r="D36" s="8" t="inlineStr"/>
      <c r="E36" s="8" t="inlineStr"/>
    </row>
    <row r="37">
      <c r="A37" s="7" t="inlineStr">
        <is>
          <t>Lợi nhuận sau thuế</t>
        </is>
      </c>
      <c r="B37" s="8">
        <f> Nếu Lợi nhuận trước thuế &gt; 0 thì giữ lại 80% (× 0,8); nếu ≤ 0 giữ nguyên.</f>
        <v/>
      </c>
      <c r="C37" s="8" t="inlineStr">
        <is>
          <t>—</t>
        </is>
      </c>
      <c r="D37" s="8" t="inlineStr">
        <is>
          <t>80% là QUY ƯỚC cố định trong báo cáo (không phải thuế suất TNDN thực).</t>
        </is>
      </c>
      <c r="E37" s="8" t="inlineStr"/>
    </row>
    <row r="38">
      <c r="A38" s="7" t="inlineStr">
        <is>
          <t>Tỷ lệ Xanh/Đỏ</t>
        </is>
      </c>
      <c r="B38" s="8" t="inlineStr">
        <is>
          <t>Giá trị gốc = Doanh số nhóm Xanh ÷ Doanh số nhóm Đỏ (của ngành; Đỏ=0 → để trống). Cột 'Giá trị thực tế' quy đổi thành % doanh số Xanh = DS Xanh ÷ (DS Xanh + DS Đỏ) × 100.</t>
        </is>
      </c>
      <c r="C38" s="8" t="inlineStr">
        <is>
          <t>Chỉ sản phẩm có phân loại Xanh/Đỏ, trong ngành.</t>
        </is>
      </c>
      <c r="D38" s="8" t="inlineStr"/>
      <c r="E38" s="8" t="inlineStr"/>
    </row>
    <row r="39">
      <c r="A39" s="7" t="inlineStr">
        <is>
          <t>CP dự phòng tồn kho thanh lý</t>
        </is>
      </c>
      <c r="B39" s="8">
        <f> 1,5% × Doanh thu thực tế của ngành.</f>
        <v/>
      </c>
      <c r="C39" s="8" t="inlineStr">
        <is>
          <t>—</t>
        </is>
      </c>
      <c r="D39" s="8" t="inlineStr">
        <is>
          <t>Định mức 1,5% cố định; là một thành phần của 'CP quản lý vận hành'.</t>
        </is>
      </c>
      <c r="E39" s="8" t="inlineStr"/>
    </row>
  </sheetData>
  <mergeCells count="2">
    <mergeCell ref="A13:E13"/>
    <mergeCell ref="A3:E3"/>
  </mergeCells>
  <dataValidations count="1">
    <dataValidation sqref="E4:E40"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5"/>
  <sheetViews>
    <sheetView workbookViewId="0">
      <pane ySplit="2" topLeftCell="A3" activePane="bottomLeft" state="frozen"/>
      <selection pane="bottomLeft" activeCell="A1" sqref="A1"/>
    </sheetView>
  </sheetViews>
  <sheetFormatPr baseColWidth="8" defaultRowHeight="15"/>
  <cols>
    <col width="26" customWidth="1" min="1" max="1"/>
    <col width="70" customWidth="1" min="2" max="2"/>
    <col width="40" customWidth="1" min="3" max="3"/>
    <col width="34" customWidth="1" min="4" max="4"/>
    <col width="12" customWidth="1" min="5" max="5"/>
  </cols>
  <sheetData>
    <row r="1">
      <c r="A1" s="4" t="inlineStr">
        <is>
          <t xml:space="preserve">(KGR) BRD.BC01_Daily_Summary v1.1 · BC01_Hàng ngày · </t>
        </is>
      </c>
    </row>
    <row r="3">
      <c r="A3" s="5" t="inlineStr">
        <is>
          <t>DAILY_CHUỖI (theo Chuỗi)</t>
        </is>
      </c>
    </row>
    <row r="4" ht="28" customHeight="1">
      <c r="A4" s="6" t="inlineStr">
        <is>
          <t>Cột / Chỉ tiêu</t>
        </is>
      </c>
      <c r="B4" s="6" t="inlineStr">
        <is>
          <t>Cách tính (logic nghiệp vụ)</t>
        </is>
      </c>
      <c r="C4" s="6" t="inlineStr">
        <is>
          <t>Loại trừ / Bộ lọc</t>
        </is>
      </c>
      <c r="D4" s="6" t="inlineStr">
        <is>
          <t>Ghi chú</t>
        </is>
      </c>
      <c r="E4" s="6" t="inlineStr">
        <is>
          <t>KGR xác nhận</t>
        </is>
      </c>
    </row>
    <row r="5">
      <c r="A5" s="7" t="inlineStr">
        <is>
          <t>Tên Chuỗi</t>
        </is>
      </c>
      <c r="B5" s="8" t="inlineStr">
        <is>
          <t>Nhãn phân nhóm: tên chuỗi bán hàng của dòng. Bảng này gom số liệu theo từng Chuỗi, mỗi dòng là một chuỗi. Chuỗi có mã = 5 được coi là không thuộc chuỗi nào (để trống/loại khỏi nhóm chuỗi).</t>
        </is>
      </c>
      <c r="C5" s="8" t="inlineStr">
        <is>
          <t>—</t>
        </is>
      </c>
      <c r="D5" s="8" t="inlineStr">
        <is>
          <t>Cột chiều (dimension), không phải số liệu.</t>
        </is>
      </c>
      <c r="E5" s="8" t="inlineStr"/>
    </row>
    <row r="6">
      <c r="A6" s="7" t="inlineStr">
        <is>
          <t>% CKKM AOP</t>
        </is>
      </c>
      <c r="B6" s="8" t="inlineStr">
        <is>
          <t>Tỷ lệ % chi phí chiết khấu khuyến mại theo KẾ HOẠCH (AOP) áp cho chuỗi đó. Lấy trực tiếp tỷ lệ % CKKM trong bản kế hoạch AOP, tra theo chuỗi + kênh + kỳ (khoảng ngày hiệu lực bao ngày giao dịch). Nếu một chuỗi khớp nhiều dòng kế hoạch thì lấy giá trị đại diện (gộp lại 1 giá trị cho chuỗi). Nếu kỳ đó không có kế hoạch → để trống.</t>
        </is>
      </c>
      <c r="C6" s="8" t="inlineStr">
        <is>
          <t>—</t>
        </is>
      </c>
      <c r="D6" s="8" t="inlineStr">
        <is>
          <t>Là tỷ lệ KẾ HOẠCH (AOP), không phải thực tế. AOP = kế hoạch năm.</t>
        </is>
      </c>
      <c r="E6" s="8" t="inlineStr"/>
    </row>
    <row r="7">
      <c r="A7" s="7" t="inlineStr">
        <is>
          <t>% Lợi nhuận AOP</t>
        </is>
      </c>
      <c r="B7" s="8" t="inlineStr">
        <is>
          <t>Tỷ lệ % lợi nhuận theo KẾ HOẠCH (AOP) áp cho chuỗi đó. Lấy trực tiếp tỷ lệ % lợi nhuận trong bản kế hoạch AOP, tra theo chuỗi + kênh + kỳ (khoảng ngày hiệu lực bao ngày giao dịch); gộp về 1 giá trị đại diện cho chuỗi. Nếu kỳ đó không có kế hoạch → để trống.</t>
        </is>
      </c>
      <c r="C7" s="8" t="inlineStr">
        <is>
          <t>—</t>
        </is>
      </c>
      <c r="D7" s="8" t="inlineStr">
        <is>
          <t>Là tỷ lệ KẾ HOẠCH (AOP), không phải thực tế.</t>
        </is>
      </c>
      <c r="E7" s="8" t="inlineStr"/>
    </row>
    <row r="8">
      <c r="A8" s="7" t="inlineStr">
        <is>
          <t>Lợi nhuận giao</t>
        </is>
      </c>
      <c r="B8" s="8" t="inlineStr">
        <is>
          <t>Mức lợi nhuận được GIAO theo kế hoạch (AOP) cho chuỗi trong kỳ. Lấy trực tiếp số lợi nhuận giao trong bản kế hoạch AOP, tra theo chuỗi + kênh + kỳ; cộng dồn các dòng kế hoạch khớp chuỗi. Nếu kỳ đó không có kế hoạch → để trống.</t>
        </is>
      </c>
      <c r="C8" s="8" t="inlineStr">
        <is>
          <t>—</t>
        </is>
      </c>
      <c r="D8" s="8" t="inlineStr">
        <is>
          <t>Là số KẾ HOẠCH (AOP), không phải thực tế. Đây là chỉ tiêu lợi nhuận giao cho chuỗi.</t>
        </is>
      </c>
      <c r="E8" s="8" t="inlineStr"/>
    </row>
    <row r="9">
      <c r="A9" s="7" t="inlineStr">
        <is>
          <t>Doanh số AOP</t>
        </is>
      </c>
      <c r="B9" s="8" t="inlineStr">
        <is>
          <t>Doanh số KẾ HOẠCH (AOP) giao cho chuỗi trong kỳ. Lấy trực tiếp số doanh số kế hoạch trong bản kế hoạch AOP, tra theo chuỗi + kênh + kỳ; cộng dồn các dòng kế hoạch khớp chuỗi. Nếu kỳ đó không có kế hoạch → để trống.</t>
        </is>
      </c>
      <c r="C9" s="8" t="inlineStr">
        <is>
          <t>—</t>
        </is>
      </c>
      <c r="D9" s="8" t="inlineStr">
        <is>
          <t>Là số KẾ HOẠCH (AOP), không phải thực tế.</t>
        </is>
      </c>
      <c r="E9" s="8" t="inlineStr"/>
    </row>
    <row r="10">
      <c r="A10" s="7" t="inlineStr">
        <is>
          <t>CP CKKM AOP</t>
        </is>
      </c>
      <c r="B10" s="8" t="inlineStr">
        <is>
          <t>Chi phí chiết khấu khuyến mại (CKKM) theo KẾ HOẠCH (AOP) giao cho chuỗi trong kỳ. Lấy trực tiếp số tiền CKKM kế hoạch trong bản kế hoạch AOP, tra theo chuỗi + kênh + kỳ; cộng dồn các dòng kế hoạch khớp chuỗi. Nếu kỳ đó không có kế hoạch → để trống.</t>
        </is>
      </c>
      <c r="C10" s="8" t="inlineStr">
        <is>
          <t>—</t>
        </is>
      </c>
      <c r="D10" s="8" t="inlineStr">
        <is>
          <t>CKKM = chi phí chiết khấu/khuyến mãi thương mại. Là số KẾ HOẠCH (AOP), không phải thực tế.</t>
        </is>
      </c>
      <c r="E10" s="8" t="inlineStr"/>
    </row>
    <row r="11">
      <c r="A11" s="7" t="inlineStr">
        <is>
          <t>TlXD</t>
        </is>
      </c>
      <c r="B11" s="8" t="inlineStr">
        <is>
          <t>Tỷ lệ Xanh/Đỏ của chuỗi, hiển thị dạng 'số Xanh / số Đỏ' (ví dụ 60/40). Số Xanh = phần trăm doanh số nhóm Xanh = Doanh số Xanh ÷ (Doanh số Xanh + Doanh số Đỏ) × 100, làm tròn về số nguyên; số Đỏ = 100 − số Xanh. Doanh số Xanh và Doanh số Đỏ là tổng doanh số của các sản phẩm thuộc nhóm Xanh (nhóm ưu tiên) và nhóm Đỏ trong chuỗi, lũy kế trong tháng đến ngày được chọn. Nếu không có doanh số (mẫu số = 0) → để trống.</t>
        </is>
      </c>
      <c r="C11" s="8" t="inlineStr">
        <is>
          <t>Chỉ tính trên sản phẩm có phân loại Xanh/Đỏ (mỗi sản phẩm luôn thuộc đúng 1 trong 2 nhóm).</t>
        </is>
      </c>
      <c r="D11" s="8" t="inlineStr">
        <is>
          <t>Xanh = nhóm sản phẩm ưu tiên, Đỏ = nhóm còn lại. Hiển thị là cặp tỷ trọng % cộng lại = 100.</t>
        </is>
      </c>
      <c r="E11" s="8" t="inlineStr"/>
    </row>
    <row r="12">
      <c r="A12" s="7" t="inlineStr">
        <is>
          <t>Tỷ trọng SP mới</t>
        </is>
      </c>
      <c r="B12" s="8">
        <f> Doanh thu thực tế của các SẢN PHẨM MỚI ÷ Doanh thu thực tế (toàn bộ, cùng phạm vi), ra %. 'Sản phẩm mới' = sản phẩm có phân loại 'Quy hoạch SP' = 'SP mới' (gắn theo sản phẩm trên dòng hóa đơn); doanh thu SP mới = doanh thu thực tế của riêng các dòng có 'Quy hoạch SP' = 'SP mới'.</f>
        <v/>
      </c>
      <c r="C12" s="8" t="inlineStr">
        <is>
          <t>Cùng phạm vi với Doanh số thực tế của chuỗi.</t>
        </is>
      </c>
      <c r="D12" s="8" t="inlineStr"/>
      <c r="E12" s="8" t="inlineStr"/>
    </row>
    <row r="13">
      <c r="A13" s="7" t="inlineStr">
        <is>
          <t>Doanh số thực tế</t>
        </is>
      </c>
      <c r="B13" s="8" t="inlineStr">
        <is>
          <t>Tổng doanh số bán hàng THỰC TẾ của chuỗi, cộng dồn (lũy kế) từ đầu tháng đến ngày được chọn ở bộ lọc trên canvas. Mỗi dòng hóa đơn đóng góp doanh số của dòng (hợp nhất hóa đơn bán dấu +, chứng từ điều chỉnh giảm/credit memo dấu −); cộng theo từng chuỗi. Đổi ngày được chọn → đổi số lũy kế.</t>
        </is>
      </c>
      <c r="C13" s="8" t="inlineStr">
        <is>
          <t>Chỉ 2 pháp nhân 'CTCP LD Kangaroo Quốc tế' (VU1) và 'Chi nhánh HCM'; chỉ giao dịch đã hạch toán; loại hàng thanh lý (HTL); loại khách hàng được đánh dấu ký gửi; loại kênh nội bộ.</t>
        </is>
      </c>
      <c r="D13" s="8" t="inlineStr">
        <is>
          <t>Lũy kế trong THÁNG (reset đầu mỗi tháng) đến ngày được chọn.</t>
        </is>
      </c>
      <c r="E13" s="8" t="inlineStr"/>
    </row>
    <row r="14">
      <c r="A14" s="7" t="inlineStr">
        <is>
          <t>LN gộp KD</t>
        </is>
      </c>
      <c r="B14" s="8" t="inlineStr">
        <is>
          <t>Lợi nhuận gộp kinh doanh của chuỗi, lũy kế trong tháng đến ngày được chọn. = Lợi nhuận gộp − Chi phí CKKM − Chi phí lương nhân viên kinh doanh − Chi phí roadshow/hội nghị − Chi phí khác (mỗi thành phần thiếu thì coi = 0). Trong đó: (1) Lợi nhuận gộp = Doanh thu thuần − Giá vốn của các dòng thuộc chuỗi; (2) Chi phí CKKM = chi phí chiết khấu khuyến mại thực tế của chuỗi; (3) Chi phí lương / roadshow-hội nghị / khác là chi phí ƯỚC TÍNH = Doanh thu thực tế của dòng × tỷ lệ % tương ứng theo kế hoạch (tra theo chuỗi + kênh + khoảng ngày hiệu lực bao ngày giao dịch; ngoài khoảng hiệu lực → 0). Tất cả cộng dồn theo chuỗi đến ngày được chọn.</t>
        </is>
      </c>
      <c r="C14" s="8" t="inlineStr">
        <is>
          <t>Cùng phạm vi với Doanh số thực tế (2 pháp nhân VU1 + Chi nhánh HCM; đã hạch toán; loại hàng thanh lý (HTL)/khách ký gửi/kênh nội bộ).</t>
        </is>
      </c>
      <c r="D14" s="8" t="inlineStr">
        <is>
          <t>Các chi phí lương/roadshow/khác là ƯỚC TÍNH theo tỷ lệ kế hoạch, không phải chi phí thực phát sinh.</t>
        </is>
      </c>
      <c r="E14" s="8" t="inlineStr"/>
    </row>
    <row r="15">
      <c r="A15" s="7" t="inlineStr">
        <is>
          <t>CP CKKM (thực tế)</t>
        </is>
      </c>
      <c r="B15" s="8" t="inlineStr">
        <is>
          <t>Tổng chi phí chiết khấu khuyến mại (CKKM) THỰC TẾ của chuỗi, lũy kế trong tháng đến ngày được chọn. Là phần chi phí CKKM khớp vào các dòng hóa đơn của chuỗi; cộng dồn theo chuỗi.</t>
        </is>
      </c>
      <c r="C15" s="8" t="inlineStr">
        <is>
          <t>Cùng phạm vi với Doanh số thực tế của chuỗi.</t>
        </is>
      </c>
      <c r="D15" s="8" t="inlineStr">
        <is>
          <t>CKKM = chi phí chiết khấu/khuyến mãi thương mại. Đây là CKKM thực tế (đối chiếu với 'CP CKKM AOP' là kế hoạch).</t>
        </is>
      </c>
      <c r="E15" s="8" t="inlineStr"/>
    </row>
    <row r="16">
      <c r="A16" s="7" t="inlineStr">
        <is>
          <t>Doanh số AOP − thực tế (còn phải thực hiện)</t>
        </is>
      </c>
      <c r="B16" s="8">
        <f> Doanh số AOP (kế hoạch của chuỗi) − Doanh số thực tế của chuỗi, cùng lũy kế đến ngày được chọn. Cho biết phần doanh số còn phải thực hiện để đạt kế hoạch: số dương = chưa đạt kế hoạch, số âm = đã vượt kế hoạch.</f>
        <v/>
      </c>
      <c r="C16" s="8" t="inlineStr">
        <is>
          <t>—</t>
        </is>
      </c>
      <c r="D16" s="8" t="inlineStr">
        <is>
          <t>Hiệu của 2 cột 'Doanh số AOP' và 'Doanh số thực tế' cùng bảng.</t>
        </is>
      </c>
      <c r="E16" s="8" t="inlineStr"/>
    </row>
    <row r="17">
      <c r="A17" s="7" t="inlineStr">
        <is>
          <t>Lợi nhuận AOP − thực tế (còn phải thực hiện)</t>
        </is>
      </c>
      <c r="B17" s="8">
        <f> Lợi nhuận giao (kế hoạch của chuỗi) − LN gộp KD (lợi nhuận gộp kinh doanh thực tế của chuỗi), cùng lũy kế đến ngày được chọn. Cho biết phần lợi nhuận còn phải thực hiện để đạt kế hoạch: số dương = chưa đạt, số âm = đã vượt.</f>
        <v/>
      </c>
      <c r="C17" s="8" t="inlineStr">
        <is>
          <t>—</t>
        </is>
      </c>
      <c r="D17" s="8" t="inlineStr">
        <is>
          <t>Hiệu của cột 'Lợi nhuận giao' (kế hoạch) và 'LN gộp KD' (thực tế).</t>
        </is>
      </c>
      <c r="E17" s="8" t="inlineStr"/>
    </row>
    <row r="18">
      <c r="A18" s="7" t="inlineStr">
        <is>
          <t>CKKM AOP − thực tế (còn được sử dụng)</t>
        </is>
      </c>
      <c r="B18" s="8">
        <f> CP CKKM AOP (chi phí khuyến mại kế hoạch của chuỗi) − CP CKKM thực tế của chuỗi, cùng lũy kế đến ngày được chọn. Cho biết phần ngân sách khuyến mại còn được sử dụng: số dương = còn dư ngân sách, số âm = đã chi vượt kế hoạch.</f>
        <v/>
      </c>
      <c r="C18" s="8" t="inlineStr">
        <is>
          <t>—</t>
        </is>
      </c>
      <c r="D18" s="8" t="inlineStr">
        <is>
          <t>Hiệu của 'CP CKKM AOP' (kế hoạch) và 'CP CKKM thực tế'.</t>
        </is>
      </c>
      <c r="E18" s="8" t="inlineStr"/>
    </row>
    <row r="19">
      <c r="A19" s="5" t="inlineStr">
        <is>
          <t>DAILY_KÊNH (theo Kênh)</t>
        </is>
      </c>
    </row>
    <row r="20" ht="28" customHeight="1">
      <c r="A20" s="6" t="inlineStr">
        <is>
          <t>Cột / Chỉ tiêu</t>
        </is>
      </c>
      <c r="B20" s="6" t="inlineStr">
        <is>
          <t>Cách tính (logic nghiệp vụ)</t>
        </is>
      </c>
      <c r="C20" s="6" t="inlineStr">
        <is>
          <t>Loại trừ / Bộ lọc</t>
        </is>
      </c>
      <c r="D20" s="6" t="inlineStr">
        <is>
          <t>Ghi chú</t>
        </is>
      </c>
      <c r="E20" s="6" t="inlineStr">
        <is>
          <t>KGR xác nhận</t>
        </is>
      </c>
    </row>
    <row r="21">
      <c r="A21" s="7" t="inlineStr">
        <is>
          <t>Nhóm Kênh</t>
        </is>
      </c>
      <c r="B21" s="8" t="inlineStr">
        <is>
          <t>Nhãn phân nhóm: nhóm kênh bán mà kênh của dòng thuộc về (cấp gộp trên của kênh). Bảng này gom số liệu theo từng Kênh; nhóm kênh dùng để xếp các kênh vào cùng nhóm.</t>
        </is>
      </c>
      <c r="C21" s="8" t="inlineStr">
        <is>
          <t>—</t>
        </is>
      </c>
      <c r="D21" s="8" t="inlineStr">
        <is>
          <t>Cột chiều (dimension), không phải số liệu.</t>
        </is>
      </c>
      <c r="E21" s="8" t="inlineStr"/>
    </row>
    <row r="22">
      <c r="A22" s="7" t="inlineStr">
        <is>
          <t>Tên Kênh</t>
        </is>
      </c>
      <c r="B22" s="8" t="inlineStr">
        <is>
          <t>Nhãn phân nhóm: tên kênh bán hàng của dòng. Mỗi dòng của bảng là một kênh.</t>
        </is>
      </c>
      <c r="C22" s="8" t="inlineStr">
        <is>
          <t>—</t>
        </is>
      </c>
      <c r="D22" s="8" t="inlineStr">
        <is>
          <t>Cột chiều (dimension), không phải số liệu.</t>
        </is>
      </c>
      <c r="E22" s="8" t="inlineStr"/>
    </row>
    <row r="23">
      <c r="A23" s="7" t="inlineStr">
        <is>
          <t>% CKKM (AOP)</t>
        </is>
      </c>
      <c r="B23" s="8" t="inlineStr">
        <is>
          <t>Tỷ lệ % chi phí chiết khấu khuyến mại theo KẾ HOẠCH (AOP) áp cho kênh đó. Lấy trực tiếp tỷ lệ % CKKM trong bản kế hoạch AOP, tra theo kênh + chuỗi + kỳ (khoảng ngày hiệu lực bao ngày giao dịch); là giá trị TRUNG BÌNH cho kênh khi khớp nhiều dòng kế hoạch. Nếu kỳ đó không có kế hoạch → để trống.</t>
        </is>
      </c>
      <c r="C23" s="8" t="inlineStr">
        <is>
          <t>—</t>
        </is>
      </c>
      <c r="D23" s="8" t="inlineStr">
        <is>
          <t>Là tỷ lệ KẾ HOẠCH (AOP), không phải thực tế.</t>
        </is>
      </c>
      <c r="E23" s="8" t="inlineStr"/>
    </row>
    <row r="24">
      <c r="A24" s="7" t="inlineStr">
        <is>
          <t>% Lợi nhuận AOP</t>
        </is>
      </c>
      <c r="B24" s="8" t="inlineStr">
        <is>
          <t>Tỷ lệ % lợi nhuận theo KẾ HOẠCH (AOP) áp cho kênh đó. Lấy trực tiếp tỷ lệ % lợi nhuận trong bản kế hoạch AOP, tra theo kênh + chuỗi + kỳ; gộp về 1 giá trị đại diện cho kênh. Nếu kỳ đó không có kế hoạch → để trống.</t>
        </is>
      </c>
      <c r="C24" s="8" t="inlineStr">
        <is>
          <t>—</t>
        </is>
      </c>
      <c r="D24" s="8" t="inlineStr">
        <is>
          <t>Là tỷ lệ KẾ HOẠCH (AOP), không phải thực tế.</t>
        </is>
      </c>
      <c r="E24" s="8" t="inlineStr"/>
    </row>
    <row r="25">
      <c r="A25" s="7" t="inlineStr">
        <is>
          <t>Lợi nhuận giao</t>
        </is>
      </c>
      <c r="B25" s="8" t="inlineStr">
        <is>
          <t>Mức lợi nhuận được GIAO theo kế hoạch (AOP) cho kênh trong kỳ. Lấy trực tiếp số lợi nhuận giao trong bản kế hoạch AOP, tra theo kênh + chuỗi + kỳ; cộng dồn các dòng kế hoạch khớp kênh. Nếu kỳ đó không có kế hoạch → để trống.</t>
        </is>
      </c>
      <c r="C25" s="8" t="inlineStr">
        <is>
          <t>—</t>
        </is>
      </c>
      <c r="D25" s="8" t="inlineStr">
        <is>
          <t>Là số KẾ HOẠCH (AOP), không phải thực tế.</t>
        </is>
      </c>
      <c r="E25" s="8" t="inlineStr"/>
    </row>
    <row r="26">
      <c r="A26" s="7" t="inlineStr">
        <is>
          <t>Doanh số AOP</t>
        </is>
      </c>
      <c r="B26" s="8" t="inlineStr">
        <is>
          <t>Doanh số KẾ HOẠCH (AOP) giao cho kênh trong kỳ. Lấy trực tiếp số doanh số kế hoạch trong bản kế hoạch AOP, tra theo kênh + chuỗi + kỳ; cộng dồn các dòng kế hoạch khớp kênh. Nếu kỳ đó không có kế hoạch → để trống.</t>
        </is>
      </c>
      <c r="C26" s="8" t="inlineStr">
        <is>
          <t>—</t>
        </is>
      </c>
      <c r="D26" s="8" t="inlineStr">
        <is>
          <t>Là số KẾ HOẠCH (AOP), không phải thực tế.</t>
        </is>
      </c>
      <c r="E26" s="8" t="inlineStr"/>
    </row>
    <row r="27">
      <c r="A27" s="7" t="inlineStr">
        <is>
          <t>CP CKKM AOP</t>
        </is>
      </c>
      <c r="B27" s="8" t="inlineStr">
        <is>
          <t>Chi phí chiết khấu khuyến mại (CKKM) theo KẾ HOẠCH (AOP) giao cho kênh trong kỳ. Lấy trực tiếp số tiền CKKM kế hoạch trong bản kế hoạch AOP, tra theo kênh + chuỗi + kỳ; cộng dồn các dòng kế hoạch khớp kênh. Nếu kỳ đó không có kế hoạch → để trống.</t>
        </is>
      </c>
      <c r="C27" s="8" t="inlineStr">
        <is>
          <t>—</t>
        </is>
      </c>
      <c r="D27" s="8" t="inlineStr">
        <is>
          <t>CKKM = chi phí chiết khấu/khuyến mãi thương mại. Là số KẾ HOẠCH (AOP), không phải thực tế.</t>
        </is>
      </c>
      <c r="E27" s="8" t="inlineStr"/>
    </row>
    <row r="28">
      <c r="A28" s="7" t="inlineStr">
        <is>
          <t>TlXD</t>
        </is>
      </c>
      <c r="B28" s="8" t="inlineStr">
        <is>
          <t>Tỷ lệ Xanh/Đỏ của kênh, hiển thị dạng 'số Xanh / số Đỏ' (ví dụ 60/40). Số Xanh = phần trăm doanh số nhóm Xanh = Doanh số Xanh ÷ (Doanh số Xanh + Doanh số Đỏ) × 100, làm tròn về số nguyên; số Đỏ = 100 − số Xanh. Doanh số Xanh và Doanh số Đỏ là tổng doanh số sản phẩm nhóm Xanh (ưu tiên) và nhóm Đỏ trong kênh, lũy kế trong tháng đến ngày được chọn. Nếu mẫu số = 0 → để trống.</t>
        </is>
      </c>
      <c r="C28" s="8" t="inlineStr">
        <is>
          <t>Chỉ tính trên sản phẩm có phân loại Xanh/Đỏ (mỗi sản phẩm luôn thuộc đúng 1 trong 2 nhóm).</t>
        </is>
      </c>
      <c r="D28" s="8" t="inlineStr">
        <is>
          <t>Xanh = nhóm sản phẩm ưu tiên, Đỏ = nhóm còn lại. Hiển thị là cặp tỷ trọng % cộng lại = 100.</t>
        </is>
      </c>
      <c r="E28" s="8" t="inlineStr"/>
    </row>
    <row r="29">
      <c r="A29" s="7" t="inlineStr">
        <is>
          <t>Tỷ trọng SP mới</t>
        </is>
      </c>
      <c r="B29" s="8">
        <f> Doanh thu thực tế của các SẢN PHẨM MỚI ÷ Doanh thu thực tế (toàn bộ, cùng phạm vi), ra %. 'Sản phẩm mới' = sản phẩm có phân loại 'Quy hoạch SP' = 'SP mới' (gắn theo sản phẩm trên dòng hóa đơn); doanh thu SP mới = doanh thu thực tế của riêng các dòng có 'Quy hoạch SP' = 'SP mới'.</f>
        <v/>
      </c>
      <c r="C29" s="8" t="inlineStr">
        <is>
          <t>Cùng phạm vi với Doanh số thực tế của kênh.</t>
        </is>
      </c>
      <c r="D29" s="8" t="inlineStr"/>
      <c r="E29" s="8" t="inlineStr"/>
    </row>
    <row r="30">
      <c r="A30" s="7" t="inlineStr">
        <is>
          <t>Doanh số thực tế</t>
        </is>
      </c>
      <c r="B30" s="8" t="inlineStr">
        <is>
          <t>Tổng doanh số bán hàng THỰC TẾ của kênh, cộng dồn (lũy kế) từ đầu tháng đến ngày được chọn ở bộ lọc trên canvas. Mỗi dòng hóa đơn đóng góp doanh số của dòng (hóa đơn bán dấu +, chứng từ điều chỉnh giảm/credit memo dấu −); cộng theo từng kênh. Đổi ngày được chọn → đổi số lũy kế.</t>
        </is>
      </c>
      <c r="C30" s="8" t="inlineStr">
        <is>
          <t>Chỉ 2 pháp nhân 'CTCP LD Kangaroo Quốc tế' (VU1) và 'Chi nhánh HCM'; chỉ giao dịch đã hạch toán; loại hàng thanh lý (HTL); loại khách hàng được đánh dấu ký gửi; loại kênh nội bộ.</t>
        </is>
      </c>
      <c r="D30" s="8" t="inlineStr">
        <is>
          <t>Lũy kế trong THÁNG (reset đầu mỗi tháng) đến ngày được chọn.</t>
        </is>
      </c>
      <c r="E30" s="8" t="inlineStr"/>
    </row>
    <row r="31">
      <c r="A31" s="7" t="inlineStr">
        <is>
          <t>LN gộp KD</t>
        </is>
      </c>
      <c r="B31" s="8" t="inlineStr">
        <is>
          <t>Lợi nhuận gộp kinh doanh của kênh, lũy kế trong tháng đến ngày được chọn. = Lợi nhuận gộp − Chi phí CKKM − Chi phí lương nhân viên kinh doanh − Chi phí roadshow/hội nghị − Chi phí khác (mỗi thành phần thiếu thì coi = 0). Trong đó: (1) Lợi nhuận gộp = Doanh thu thuần − Giá vốn của các dòng thuộc kênh; (2) Chi phí CKKM = chi phí chiết khấu khuyến mại thực tế của kênh; (3) Chi phí lương / roadshow-hội nghị / khác là chi phí ƯỚC TÍNH = Doanh thu thực tế của dòng × tỷ lệ % tương ứng theo kế hoạch (tra theo kênh + chuỗi + khoảng ngày hiệu lực bao ngày giao dịch; ngoài khoảng hiệu lực → 0). Tất cả cộng dồn theo kênh đến ngày được chọn.</t>
        </is>
      </c>
      <c r="C31" s="8" t="inlineStr">
        <is>
          <t>Cùng phạm vi với Doanh số thực tế (2 pháp nhân VU1 + Chi nhánh HCM; đã hạch toán; loại hàng thanh lý (HTL)/khách ký gửi/kênh nội bộ).</t>
        </is>
      </c>
      <c r="D31" s="8" t="inlineStr">
        <is>
          <t>Các chi phí lương/roadshow/khác là ƯỚC TÍNH theo tỷ lệ kế hoạch, không phải chi phí thực phát sinh.</t>
        </is>
      </c>
      <c r="E31" s="8" t="inlineStr"/>
    </row>
    <row r="32">
      <c r="A32" s="7" t="inlineStr">
        <is>
          <t>CP CKKM (thực tế)</t>
        </is>
      </c>
      <c r="B32" s="8" t="inlineStr">
        <is>
          <t>Tổng chi phí chiết khấu khuyến mại (CKKM) THỰC TẾ của kênh, lũy kế trong tháng đến ngày được chọn. Là phần chi phí CKKM khớp vào các dòng hóa đơn của kênh; cộng dồn theo kênh.</t>
        </is>
      </c>
      <c r="C32" s="8" t="inlineStr">
        <is>
          <t>Cùng phạm vi với Doanh số thực tế của kênh.</t>
        </is>
      </c>
      <c r="D32" s="8" t="inlineStr">
        <is>
          <t>CKKM = chi phí chiết khấu/khuyến mãi thương mại. Đây là CKKM thực tế (đối chiếu 'CP CKKM AOP' là kế hoạch).</t>
        </is>
      </c>
      <c r="E32" s="8" t="inlineStr"/>
    </row>
    <row r="33">
      <c r="A33" s="7" t="inlineStr">
        <is>
          <t>Doanh số AOP − thực tế (còn phải thực hiện)</t>
        </is>
      </c>
      <c r="B33" s="8">
        <f> Doanh số AOP (kế hoạch của kênh) − Doanh số thực tế của kênh, cùng lũy kế đến ngày được chọn. Cho biết phần doanh số còn phải thực hiện để đạt kế hoạch: số dương = chưa đạt, số âm = đã vượt.</f>
        <v/>
      </c>
      <c r="C33" s="8" t="inlineStr">
        <is>
          <t>—</t>
        </is>
      </c>
      <c r="D33" s="8" t="inlineStr">
        <is>
          <t>Hiệu của 2 cột 'Doanh số AOP' và 'Doanh số thực tế' cùng bảng.</t>
        </is>
      </c>
      <c r="E33" s="8" t="inlineStr"/>
    </row>
    <row r="34">
      <c r="A34" s="7" t="inlineStr">
        <is>
          <t>Lợi nhuận AOP − thực tế (còn phải thực hiện)</t>
        </is>
      </c>
      <c r="B34" s="8">
        <f> Lợi nhuận giao (kế hoạch của kênh) − LN gộp KD (lợi nhuận gộp kinh doanh thực tế của kênh), cùng lũy kế đến ngày được chọn. Cho biết phần lợi nhuận còn phải thực hiện để đạt kế hoạch: số dương = chưa đạt, số âm = đã vượt.</f>
        <v/>
      </c>
      <c r="C34" s="8" t="inlineStr">
        <is>
          <t>—</t>
        </is>
      </c>
      <c r="D34" s="8" t="inlineStr">
        <is>
          <t>Hiệu của 'Lợi nhuận giao' (kế hoạch) và 'LN gộp KD' (thực tế).</t>
        </is>
      </c>
      <c r="E34" s="8" t="inlineStr"/>
    </row>
    <row r="35">
      <c r="A35" s="7" t="inlineStr">
        <is>
          <t>CKKM AOP − thực tế (còn được sử dụng)</t>
        </is>
      </c>
      <c r="B35" s="8">
        <f> CP CKKM AOP (chi phí khuyến mại kế hoạch của kênh) − CP CKKM thực tế của kênh, cùng lũy kế đến ngày được chọn. Cho biết phần ngân sách khuyến mại còn được sử dụng: số dương = còn dư, số âm = đã chi vượt.</f>
        <v/>
      </c>
      <c r="C35" s="8" t="inlineStr">
        <is>
          <t>—</t>
        </is>
      </c>
      <c r="D35" s="8" t="inlineStr">
        <is>
          <t>Hiệu của 'CP CKKM AOP' (kế hoạch) và 'CP CKKM thực tế'.</t>
        </is>
      </c>
      <c r="E35" s="8" t="inlineStr"/>
    </row>
    <row r="36">
      <c r="A36" s="5" t="inlineStr">
        <is>
          <t>DAILY_TẬP ĐOÀN</t>
        </is>
      </c>
    </row>
    <row r="37" ht="28" customHeight="1">
      <c r="A37" s="6" t="inlineStr">
        <is>
          <t>Cột / Chỉ tiêu</t>
        </is>
      </c>
      <c r="B37" s="6" t="inlineStr">
        <is>
          <t>Cách tính (logic nghiệp vụ)</t>
        </is>
      </c>
      <c r="C37" s="6" t="inlineStr">
        <is>
          <t>Loại trừ / Bộ lọc</t>
        </is>
      </c>
      <c r="D37" s="6" t="inlineStr">
        <is>
          <t>Ghi chú</t>
        </is>
      </c>
      <c r="E37" s="6" t="inlineStr">
        <is>
          <t>KGR xác nhận</t>
        </is>
      </c>
    </row>
    <row r="38">
      <c r="A38" s="7" t="inlineStr">
        <is>
          <t>% CKKM (AOP)</t>
        </is>
      </c>
      <c r="B38" s="8" t="inlineStr">
        <is>
          <t>Tỷ lệ % chi phí chiết khấu khuyến mại theo KẾ HOẠCH (AOP) cấp toàn tập đoàn. Lấy tỷ lệ % CKKM trong bản kế hoạch AOP của tập đoàn theo kỳ; là giá trị TRUNG BÌNH các dòng kế hoạch của chỉ tiêu. Nếu kỳ đó không có kế hoạch → để trống.</t>
        </is>
      </c>
      <c r="C38" s="8" t="inlineStr">
        <is>
          <t>—</t>
        </is>
      </c>
      <c r="D38" s="8" t="inlineStr">
        <is>
          <t>Là tỷ lệ KẾ HOẠCH (AOP), không phải thực tế.</t>
        </is>
      </c>
      <c r="E38" s="8" t="inlineStr"/>
    </row>
    <row r="39">
      <c r="A39" s="7" t="inlineStr">
        <is>
          <t>% Lợi nhuận (AOP)</t>
        </is>
      </c>
      <c r="B39" s="8" t="inlineStr">
        <is>
          <t>Tỷ lệ % lợi nhuận theo KẾ HOẠCH (AOP) cấp toàn tập đoàn. Lấy tỷ lệ % lợi nhuận trong bản kế hoạch AOP của tập đoàn theo kỳ; là giá trị TRUNG BÌNH các dòng kế hoạch. Nếu kỳ đó không có kế hoạch → để trống.</t>
        </is>
      </c>
      <c r="C39" s="8" t="inlineStr">
        <is>
          <t>—</t>
        </is>
      </c>
      <c r="D39" s="8" t="inlineStr">
        <is>
          <t>Là tỷ lệ KẾ HOẠCH (AOP), không phải thực tế.</t>
        </is>
      </c>
      <c r="E39" s="8" t="inlineStr"/>
    </row>
    <row r="40">
      <c r="A40" s="7" t="inlineStr">
        <is>
          <t>LN Giao (AOP)</t>
        </is>
      </c>
      <c r="B40" s="8" t="inlineStr">
        <is>
          <t>Lợi nhuận GIAO theo kế hoạch (AOP) cho toàn tập đoàn trong kỳ. = Tổng số lợi nhuận giao trong bản kế hoạch AOP của tập đoàn (cộng các dòng kế hoạch của kỳ). Nếu kỳ đó không có kế hoạch → để trống.</t>
        </is>
      </c>
      <c r="C40" s="8" t="inlineStr">
        <is>
          <t>—</t>
        </is>
      </c>
      <c r="D40" s="8" t="inlineStr">
        <is>
          <t>Là số KẾ HOẠCH (AOP), không phải thực tế. Dùng làm chuẩn để so với lợi nhuận thực tế.</t>
        </is>
      </c>
      <c r="E40" s="8" t="inlineStr"/>
    </row>
    <row r="41">
      <c r="A41" s="7" t="inlineStr">
        <is>
          <t>CP CKKM (AOP)</t>
        </is>
      </c>
      <c r="B41" s="8" t="inlineStr">
        <is>
          <t>Chi phí chiết khấu khuyến mại (CKKM) theo KẾ HOẠCH (AOP) cho toàn tập đoàn trong kỳ. = Tổng số tiền CKKM kế hoạch trong bản kế hoạch AOP của tập đoàn (cộng các dòng kế hoạch của kỳ). Nếu kỳ đó không có kế hoạch → để trống.</t>
        </is>
      </c>
      <c r="C41" s="8" t="inlineStr">
        <is>
          <t>—</t>
        </is>
      </c>
      <c r="D41" s="8" t="inlineStr">
        <is>
          <t>CKKM = chi phí chiết khấu/khuyến mãi thương mại. Là số KẾ HOẠCH (AOP), không phải thực tế.</t>
        </is>
      </c>
      <c r="E41" s="8" t="inlineStr"/>
    </row>
    <row r="42">
      <c r="A42" s="7" t="inlineStr">
        <is>
          <t>Doanh số (AOP)</t>
        </is>
      </c>
      <c r="B42" s="8" t="inlineStr">
        <is>
          <t>Doanh số KẾ HOẠCH (AOP) cho toàn tập đoàn trong kỳ. = Tổng số doanh số kế hoạch trong bản kế hoạch AOP của tập đoàn (cộng các dòng kế hoạch của kỳ). Nếu kỳ đó không có kế hoạch → để trống.</t>
        </is>
      </c>
      <c r="C42" s="8" t="inlineStr">
        <is>
          <t>—</t>
        </is>
      </c>
      <c r="D42" s="8" t="inlineStr">
        <is>
          <t>Là số KẾ HOẠCH (AOP), không phải thực tế.</t>
        </is>
      </c>
      <c r="E42" s="8" t="inlineStr"/>
    </row>
    <row r="43">
      <c r="A43" s="7" t="inlineStr">
        <is>
          <t>TlX_TD</t>
        </is>
      </c>
      <c r="B43" s="8" t="inlineStr">
        <is>
          <t>Tỷ lệ Xanh/Đỏ toàn tập đoàn, hiển thị dạng 'số Xanh / số Đỏ' (ví dụ 60/40). Số Xanh = phần trăm doanh số nhóm Xanh của tập đoàn (Doanh số Xanh ÷ (Doanh số Xanh + Doanh số Đỏ) × 100), làm tròn về số nguyên; số Đỏ = 100 − số Xanh. Tính trên doanh số nhóm Xanh (nhóm ưu tiên) và nhóm Đỏ toàn tập đoàn, lũy kế trong tháng đến ngày được chọn.</t>
        </is>
      </c>
      <c r="C43" s="8" t="inlineStr">
        <is>
          <t>Chỉ tính trên sản phẩm có phân loại Xanh/Đỏ (mỗi sản phẩm luôn thuộc đúng 1 trong 2 nhóm).</t>
        </is>
      </c>
      <c r="D43" s="8" t="inlineStr">
        <is>
          <t>Tương ứng chỉ tiêu 'Tỷ lệ Xanh/Đỏ' (mã chỉ tiêu 24) của bảng tổng hợp P&amp;L tập đoàn. Hiển thị là cặp tỷ trọng % cộng lại = 100.</t>
        </is>
      </c>
      <c r="E43" s="8" t="inlineStr"/>
    </row>
    <row r="44">
      <c r="A44" s="7" t="inlineStr">
        <is>
          <t>Tỷ trọng SP mới</t>
        </is>
      </c>
      <c r="B44" s="8">
        <f> Doanh thu thực tế của các SẢN PHẨM MỚI ÷ Doanh thu thực tế (toàn bộ, cùng phạm vi), ra %. 'Sản phẩm mới' = sản phẩm có phân loại 'Quy hoạch SP' = 'SP mới' (gắn theo sản phẩm trên dòng hóa đơn); doanh thu SP mới = doanh thu thực tế của riêng các dòng có 'Quy hoạch SP' = 'SP mới'.</f>
        <v/>
      </c>
      <c r="C44" s="8" t="inlineStr">
        <is>
          <t>Cùng phạm vi với Doanh thu thực tế của tập đoàn.</t>
        </is>
      </c>
      <c r="D44" s="8" t="inlineStr"/>
      <c r="E44" s="8" t="inlineStr"/>
    </row>
    <row r="45">
      <c r="A45" s="7" t="inlineStr">
        <is>
          <t>Doanh số thực tế</t>
        </is>
      </c>
      <c r="B45" s="8" t="inlineStr">
        <is>
          <t>Doanh số bán hàng THỰC TẾ của toàn tập đoàn, lũy kế trong tháng đến ngày được chọn. Lấy giá trị thực tế của chỉ tiêu 'Doanh số' (chỉ tiêu số 1 trong bảng P&amp;L tập đoàn) đã cộng dồn đến ngày được chọn. Đổi ngày được chọn → đổi số lũy kế.</t>
        </is>
      </c>
      <c r="C45" s="8" t="inlineStr">
        <is>
          <t>Chỉ 2 pháp nhân 'CTCP LD Kangaroo Quốc tế' (VU1) và 'Chi nhánh HCM'; chỉ giao dịch đã hạch toán; loại hàng thanh lý (HTL); loại khách hàng được đánh dấu ký gửi; loại kênh nội bộ.</t>
        </is>
      </c>
      <c r="D45" s="8" t="inlineStr">
        <is>
          <t>Lũy kế trong THÁNG (reset đầu mỗi tháng) đến ngày được chọn.</t>
        </is>
      </c>
      <c r="E45" s="8" t="inlineStr"/>
    </row>
    <row r="46">
      <c r="A46" s="7" t="inlineStr">
        <is>
          <t>CP CKKM Thực tế</t>
        </is>
      </c>
      <c r="B46" s="8" t="inlineStr">
        <is>
          <t>Chi phí chiết khấu khuyến mại (CKKM) THỰC TẾ của toàn tập đoàn, lũy kế trong tháng đến ngày được chọn. Lấy giá trị thực tế của chỉ tiêu 'CP chiết khấu khuyến mại' (chỉ tiêu số 5 trong bảng P&amp;L tập đoàn) đã cộng dồn đến ngày được chọn.</t>
        </is>
      </c>
      <c r="C46" s="8" t="inlineStr">
        <is>
          <t>Cùng phạm vi với Doanh số thực tế của tập đoàn.</t>
        </is>
      </c>
      <c r="D46" s="8" t="inlineStr">
        <is>
          <t>CKKM = chi phí chiết khấu/khuyến mãi thương mại. Đây là CKKM thực tế (đối chiếu 'CP CKKM (AOP)' là kế hoạch).</t>
        </is>
      </c>
      <c r="E46" s="8" t="inlineStr"/>
    </row>
    <row r="47">
      <c r="A47" s="7" t="inlineStr">
        <is>
          <t>LN sau thuế</t>
        </is>
      </c>
      <c r="B47" s="8" t="inlineStr">
        <is>
          <t>Lợi nhuận sau thuế THỰC TẾ của toàn tập đoàn, lũy kế trong tháng đến ngày được chọn. Lấy giá trị thực tế của chỉ tiêu 'Lợi nhuận sau thuế' (chỉ tiêu số 23 trong bảng P&amp;L tập đoàn) đã cộng dồn đến ngày được chọn. (Theo quy ước bảng P&amp;L: nếu lợi nhuận trước thuế &gt; 0 thì giữ lại 80%, ngược lại giữ nguyên — 80% là quy ước cố định của báo cáo, không phải thuế suất thực.)</t>
        </is>
      </c>
      <c r="C47" s="8" t="inlineStr">
        <is>
          <t>—</t>
        </is>
      </c>
      <c r="D47" s="8" t="inlineStr">
        <is>
          <t>Là chỉ tiêu phái sinh đứng cuối chuỗi P&amp;L của tập đoàn; tổng hợp cấp tập đoàn, không khớp lại theo từng dòng hóa đơn.</t>
        </is>
      </c>
      <c r="E47" s="8" t="inlineStr"/>
    </row>
    <row r="48">
      <c r="A48" s="7" t="inlineStr">
        <is>
          <t>DS còn phải thực hiện</t>
        </is>
      </c>
      <c r="B48" s="8">
        <f> Doanh số (AOP) (kế hoạch tập đoàn) − Doanh số thực tế của tập đoàn, cùng lũy kế đến ngày được chọn. Cho biết phần doanh số còn phải thực hiện để đạt kế hoạch: số dương = chưa đạt, số âm = đã vượt.</f>
        <v/>
      </c>
      <c r="C48" s="8" t="inlineStr">
        <is>
          <t>—</t>
        </is>
      </c>
      <c r="D48" s="8" t="inlineStr">
        <is>
          <t>Hiệu của 'Doanh số (AOP)' và 'Doanh số thực tế'.</t>
        </is>
      </c>
      <c r="E48" s="8" t="inlineStr"/>
    </row>
    <row r="49">
      <c r="A49" s="7" t="inlineStr">
        <is>
          <t>LN còn phải thực hiện</t>
        </is>
      </c>
      <c r="B49" s="8">
        <f> LN Giao (AOP) (lợi nhuận giao kế hoạch tập đoàn) − LN sau thuế thực tế của tập đoàn, cùng lũy kế đến ngày được chọn. Cho biết phần lợi nhuận còn phải thực hiện để đạt kế hoạch: số dương = chưa đạt, số âm = đã vượt.</f>
        <v/>
      </c>
      <c r="C49" s="8" t="inlineStr">
        <is>
          <t>—</t>
        </is>
      </c>
      <c r="D49" s="8" t="inlineStr">
        <is>
          <t>Hiệu của 'LN Giao (AOP)' (kế hoạch) và 'LN sau thuế' (thực tế).</t>
        </is>
      </c>
      <c r="E49" s="8" t="inlineStr"/>
    </row>
    <row r="50">
      <c r="A50" s="7" t="inlineStr">
        <is>
          <t>CKKM còn được sử dụng</t>
        </is>
      </c>
      <c r="B50" s="8">
        <f> CP CKKM (AOP) (ngân sách khuyến mại kế hoạch tập đoàn) − CP CKKM Thực tế của tập đoàn, cùng lũy kế đến ngày được chọn. Cho biết phần ngân sách khuyến mại còn được sử dụng: số dương = còn dư, số âm = đã chi vượt.</f>
        <v/>
      </c>
      <c r="C50" s="8" t="inlineStr">
        <is>
          <t>—</t>
        </is>
      </c>
      <c r="D50" s="8" t="inlineStr">
        <is>
          <t>Hiệu của 'CP CKKM (AOP)' (kế hoạch) và 'CP CKKM Thực tế'.</t>
        </is>
      </c>
      <c r="E50" s="8" t="inlineStr"/>
    </row>
    <row r="51">
      <c r="A51" s="5" t="inlineStr">
        <is>
          <t>DAILY_NGÀNH_HÀNG (theo Ngành)</t>
        </is>
      </c>
    </row>
    <row r="52" ht="28" customHeight="1">
      <c r="A52" s="6" t="inlineStr">
        <is>
          <t>Cột / Chỉ tiêu</t>
        </is>
      </c>
      <c r="B52" s="6" t="inlineStr">
        <is>
          <t>Cách tính (logic nghiệp vụ)</t>
        </is>
      </c>
      <c r="C52" s="6" t="inlineStr">
        <is>
          <t>Loại trừ / Bộ lọc</t>
        </is>
      </c>
      <c r="D52" s="6" t="inlineStr">
        <is>
          <t>Ghi chú</t>
        </is>
      </c>
      <c r="E52" s="6" t="inlineStr">
        <is>
          <t>KGR xác nhận</t>
        </is>
      </c>
    </row>
    <row r="53">
      <c r="A53" s="7" t="inlineStr">
        <is>
          <t>Tên Ngành</t>
        </is>
      </c>
      <c r="B53" s="8" t="inlineStr">
        <is>
          <t>Nhãn phân nhóm: tên ngành hàng của dòng. Ngành xác định theo phân loại ngành (CLASS) ghi trên dòng giao dịch: 1 = Water care, 2 = Home care, 3 = Cold &amp; Hygen care, 4 = Sanitary care, còn lại = 'Khac' (Khác). Mỗi dòng của bảng là một ngành.</t>
        </is>
      </c>
      <c r="C53" s="8" t="inlineStr">
        <is>
          <t>—</t>
        </is>
      </c>
      <c r="D53" s="8" t="inlineStr">
        <is>
          <t>Cột chiều (dimension), không phải số liệu. Ngành xác định tại thời điểm phát sinh giao dịch (capture-basis).</t>
        </is>
      </c>
      <c r="E53" s="8" t="inlineStr"/>
    </row>
    <row r="54">
      <c r="A54" s="7" t="inlineStr">
        <is>
          <t>% CKKM (AOP)</t>
        </is>
      </c>
      <c r="B54" s="8" t="inlineStr">
        <is>
          <t>Tỷ lệ % chi phí chiết khấu khuyến mại theo KẾ HOẠCH (AOP) cho riêng ngành của dòng. Lấy tỷ lệ % CKKM trong bản kế hoạch AOP của ngành theo kỳ; là giá trị TRUNG BÌNH các dòng kế hoạch của ngành. Nếu kỳ đó không có kế hoạch → để trống.</t>
        </is>
      </c>
      <c r="C54" s="8" t="inlineStr">
        <is>
          <t>Lọc theo ngành của dòng.</t>
        </is>
      </c>
      <c r="D54" s="8" t="inlineStr">
        <is>
          <t>Là tỷ lệ KẾ HOẠCH (AOP), không phải thực tế.</t>
        </is>
      </c>
      <c r="E54" s="8" t="inlineStr"/>
    </row>
    <row r="55">
      <c r="A55" s="7" t="inlineStr">
        <is>
          <t>% Lợi nhuận (AOP)</t>
        </is>
      </c>
      <c r="B55" s="8" t="inlineStr">
        <is>
          <t>Tỷ lệ % lợi nhuận theo KẾ HOẠCH (AOP) cho riêng ngành của dòng. Lấy tỷ lệ % lợi nhuận trong bản kế hoạch AOP của ngành theo kỳ; là giá trị TRUNG BÌNH các dòng kế hoạch của ngành. Nếu kỳ đó không có kế hoạch → để trống.</t>
        </is>
      </c>
      <c r="C55" s="8" t="inlineStr">
        <is>
          <t>Lọc theo ngành của dòng.</t>
        </is>
      </c>
      <c r="D55" s="8" t="inlineStr">
        <is>
          <t>Là tỷ lệ KẾ HOẠCH (AOP), không phải thực tế.</t>
        </is>
      </c>
      <c r="E55" s="8" t="inlineStr"/>
    </row>
    <row r="56">
      <c r="A56" s="7" t="inlineStr">
        <is>
          <t>LN Giao (AOP)</t>
        </is>
      </c>
      <c r="B56" s="8" t="inlineStr">
        <is>
          <t>Lợi nhuận GIAO theo kế hoạch (AOP) cho riêng ngành của dòng trong kỳ. = Tổng số lợi nhuận giao trong bản kế hoạch AOP của ngành; chỉ hiển thị tại dòng chỉ tiêu tương ứng. Nếu kỳ đó không có kế hoạch → để trống.</t>
        </is>
      </c>
      <c r="C56" s="8" t="inlineStr">
        <is>
          <t>Lọc theo ngành của dòng.</t>
        </is>
      </c>
      <c r="D56" s="8" t="inlineStr">
        <is>
          <t>Là số KẾ HOẠCH (AOP), không phải thực tế.</t>
        </is>
      </c>
      <c r="E56" s="8" t="inlineStr"/>
    </row>
    <row r="57">
      <c r="A57" s="7" t="inlineStr">
        <is>
          <t>CP CKKM (AOP)</t>
        </is>
      </c>
      <c r="B57" s="8" t="inlineStr">
        <is>
          <t>Chi phí chiết khấu khuyến mại (CKKM) theo KẾ HOẠCH (AOP) cho riêng ngành của dòng trong kỳ. = Tổng số tiền CKKM kế hoạch trong bản kế hoạch AOP của ngành. Nếu kỳ đó không có kế hoạch → để trống.</t>
        </is>
      </c>
      <c r="C57" s="8" t="inlineStr">
        <is>
          <t>Lọc theo ngành của dòng.</t>
        </is>
      </c>
      <c r="D57" s="8" t="inlineStr">
        <is>
          <t>CKKM = chi phí chiết khấu/khuyến mãi thương mại. Là số KẾ HOẠCH (AOP), không phải thực tế.</t>
        </is>
      </c>
      <c r="E57" s="8" t="inlineStr"/>
    </row>
    <row r="58">
      <c r="A58" s="7" t="inlineStr">
        <is>
          <t>Doanh số (AOP)</t>
        </is>
      </c>
      <c r="B58" s="8" t="inlineStr">
        <is>
          <t>Doanh số KẾ HOẠCH (AOP) cho riêng ngành của dòng trong kỳ. = Tổng số doanh số kế hoạch trong bản kế hoạch AOP của ngành. Nếu kỳ đó không có kế hoạch → để trống.</t>
        </is>
      </c>
      <c r="C58" s="8" t="inlineStr">
        <is>
          <t>Lọc theo ngành của dòng.</t>
        </is>
      </c>
      <c r="D58" s="8" t="inlineStr">
        <is>
          <t>Là số KẾ HOẠCH (AOP), không phải thực tế.</t>
        </is>
      </c>
      <c r="E58" s="8" t="inlineStr"/>
    </row>
    <row r="59">
      <c r="A59" s="7" t="inlineStr">
        <is>
          <t>TlX</t>
        </is>
      </c>
      <c r="B59" s="8" t="inlineStr">
        <is>
          <t>Tỷ lệ Xanh/Đỏ của ngành, hiển thị dạng 'số Xanh / số Đỏ' (ví dụ 60/40). Số Xanh = phần trăm doanh số nhóm Xanh của ngành (Doanh số Xanh ÷ (Doanh số Xanh + Doanh số Đỏ) × 100), làm tròn về số nguyên; số Đỏ = 100 − số Xanh. Doanh số Xanh và Doanh số Đỏ là tổng doanh số nhóm Xanh (ưu tiên) và nhóm Đỏ trong ngành, lũy kế trong tháng đến ngày được chọn.</t>
        </is>
      </c>
      <c r="C59" s="8" t="inlineStr">
        <is>
          <t>Chỉ tính trên sản phẩm có phân loại Xanh/Đỏ, trong ngành.</t>
        </is>
      </c>
      <c r="D59" s="8" t="inlineStr">
        <is>
          <t>Hiển thị là cặp tỷ trọng % cộng lại = 100.</t>
        </is>
      </c>
      <c r="E59" s="8" t="inlineStr"/>
    </row>
    <row r="60">
      <c r="A60" s="7" t="inlineStr">
        <is>
          <t>Tỷ trọng SP mới</t>
        </is>
      </c>
      <c r="B60" s="8">
        <f> Doanh thu thực tế của các SẢN PHẨM MỚI ÷ Doanh thu thực tế (toàn bộ, cùng phạm vi), ra %. 'Sản phẩm mới' = sản phẩm có phân loại 'Quy hoạch SP' = 'SP mới' (gắn theo sản phẩm trên dòng hóa đơn); doanh thu SP mới = doanh thu thực tế của riêng các dòng có 'Quy hoạch SP' = 'SP mới'.</f>
        <v/>
      </c>
      <c r="C60" s="8" t="inlineStr">
        <is>
          <t>Lọc theo ngành của dòng; cùng phạm vi với Doanh thu của ngành.</t>
        </is>
      </c>
      <c r="D60" s="8" t="inlineStr"/>
      <c r="E60" s="8" t="inlineStr"/>
    </row>
    <row r="61">
      <c r="A61" s="7" t="inlineStr">
        <is>
          <t>Doanh số thực tế</t>
        </is>
      </c>
      <c r="B61" s="8" t="inlineStr">
        <is>
          <t>Doanh số bán hàng THỰC TẾ của riêng ngành, lũy kế trong tháng đến ngày được chọn. Lấy giá trị thực tế của chỉ tiêu 'Doanh số' (chỉ tiêu số 1 trong bảng P&amp;L) cho ngành đó, đã cộng dồn đến ngày được chọn. Đổi ngày được chọn → đổi số lũy kế.</t>
        </is>
      </c>
      <c r="C61" s="8" t="inlineStr">
        <is>
          <t>Lọc theo ngành của dòng; và phạm vi chung: chỉ 2 pháp nhân 'CTCP LD Kangaroo Quốc tế' (VU1) và 'Chi nhánh HCM'; chỉ giao dịch đã hạch toán; loại hàng thanh lý (HTL); loại khách hàng được đánh dấu ký gửi; loại kênh nội bộ.</t>
        </is>
      </c>
      <c r="D61" s="8" t="inlineStr">
        <is>
          <t>Lũy kế trong THÁNG (reset đầu mỗi tháng) đến ngày được chọn.</t>
        </is>
      </c>
      <c r="E61" s="8" t="inlineStr"/>
    </row>
    <row r="62">
      <c r="A62" s="7" t="inlineStr">
        <is>
          <t>LN sau thuế</t>
        </is>
      </c>
      <c r="B62" s="8" t="inlineStr">
        <is>
          <t>Lợi nhuận sau thuế THỰC TẾ của riêng ngành, lũy kế trong tháng đến ngày được chọn. Lấy giá trị thực tế của chỉ tiêu 'Lợi nhuận sau thuế' (chỉ tiêu số 23 trong bảng P&amp;L) cho ngành đó, đã cộng dồn đến ngày được chọn. (Theo quy ước bảng P&amp;L: nếu lợi nhuận trước thuế &gt; 0 thì giữ lại 80%, ngược lại giữ nguyên — 80% là quy ước cố định, không phải thuế suất thực.)</t>
        </is>
      </c>
      <c r="C62" s="8" t="inlineStr">
        <is>
          <t>Lọc theo ngành của dòng.</t>
        </is>
      </c>
      <c r="D62" s="8" t="inlineStr">
        <is>
          <t>Là chỉ tiêu phái sinh cuối chuỗi P&amp;L của ngành; tổng hợp cấp ngành, không khớp lại theo từng dòng hóa đơn.</t>
        </is>
      </c>
      <c r="E62" s="8" t="inlineStr"/>
    </row>
    <row r="63">
      <c r="A63" s="7" t="inlineStr">
        <is>
          <t>DS còn phải thực hiện</t>
        </is>
      </c>
      <c r="B63" s="8">
        <f> Doanh số (AOP) (kế hoạch của ngành) − Doanh số thực tế của ngành, cùng lũy kế đến ngày được chọn. Cho biết phần doanh số còn phải thực hiện để đạt kế hoạch: số dương = chưa đạt, số âm = đã vượt.</f>
        <v/>
      </c>
      <c r="C63" s="8" t="inlineStr">
        <is>
          <t>Lọc theo ngành của dòng.</t>
        </is>
      </c>
      <c r="D63" s="8" t="inlineStr">
        <is>
          <t>Hiệu của 'Doanh số (AOP)' và 'Doanh số thực tế' của ngành.</t>
        </is>
      </c>
      <c r="E63" s="8" t="inlineStr"/>
    </row>
    <row r="64">
      <c r="A64" s="7" t="inlineStr">
        <is>
          <t>LN còn phải thực hiện</t>
        </is>
      </c>
      <c r="B64" s="8">
        <f> LN Giao (AOP) (lợi nhuận giao kế hoạch của ngành) − Lợi nhuận gộp thực tế của ngành, cùng lũy kế đến ngày được chọn. Cho biết phần lợi nhuận còn phải thực hiện để đạt kế hoạch: số dương = chưa đạt, số âm = đã vượt.</f>
        <v/>
      </c>
      <c r="C64" s="8" t="inlineStr">
        <is>
          <t>Lọc theo ngành của dòng.</t>
        </is>
      </c>
      <c r="D64" s="8" t="inlineStr">
        <is>
          <t>Hiệu của 'LN Giao (AOP)' (kế hoạch) và lợi nhuận gộp thực tế của ngành (chỉ tiêu lợi nhuận gộp số 4 trong bảng P&amp;L). Lưu ý: ở bảng Ngành, số thực tế dùng để so là lợi nhuận gộp, khác với bảng Tập đoàn (dùng lợi nhuận sau thuế).</t>
        </is>
      </c>
      <c r="E64" s="8" t="inlineStr"/>
    </row>
    <row r="65">
      <c r="A65" s="7" t="inlineStr">
        <is>
          <t>CKKM còn được sử dụng</t>
        </is>
      </c>
      <c r="B65" s="8">
        <f> CP CKKM (AOP) (ngân sách khuyến mại kế hoạch của ngành) − CP CKKM thực tế của ngành, cùng lũy kế đến ngày được chọn. Cho biết phần ngân sách khuyến mại còn được sử dụng: số dương = còn dư, số âm = đã chi vượt.</f>
        <v/>
      </c>
      <c r="C65" s="8" t="inlineStr">
        <is>
          <t>Lọc theo ngành của dòng.</t>
        </is>
      </c>
      <c r="D65" s="8" t="inlineStr">
        <is>
          <t>Hiệu của 'CP CKKM (AOP)' (kế hoạch) và CP CKKM thực tế của ngành (chỉ tiêu CKKM số 5 trong bảng P&amp;L). Nhãn cột trên báo cáo viết là 'CKKM còn được sử sụng' (lỗi chính tả gốc).</t>
        </is>
      </c>
      <c r="E65" s="8" t="inlineStr"/>
    </row>
  </sheetData>
  <mergeCells count="4">
    <mergeCell ref="A51:E51"/>
    <mergeCell ref="A19:E19"/>
    <mergeCell ref="A36:E36"/>
    <mergeCell ref="A3:E3"/>
  </mergeCells>
  <dataValidations count="1">
    <dataValidation sqref="E4:E66" showDropDown="0" showInputMessage="0" showErrorMessage="0" allowBlank="1"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3"/>
  <sheetViews>
    <sheetView workbookViewId="0">
      <pane ySplit="2" topLeftCell="A3" activePane="bottomLeft" state="frozen"/>
      <selection pane="bottomLeft" activeCell="A1" sqref="A1"/>
    </sheetView>
  </sheetViews>
  <sheetFormatPr baseColWidth="8" defaultRowHeight="15"/>
  <cols>
    <col width="26" customWidth="1" min="1" max="1"/>
    <col width="70" customWidth="1" min="2" max="2"/>
    <col width="40" customWidth="1" min="3" max="3"/>
    <col width="34" customWidth="1" min="4" max="4"/>
    <col width="12" customWidth="1" min="5" max="5"/>
  </cols>
  <sheetData>
    <row r="1">
      <c r="A1" s="4" t="inlineStr">
        <is>
          <t xml:space="preserve">(KGR) BRD.BC03-04-05_SFC/MIS · SFC Ước Tính · </t>
        </is>
      </c>
    </row>
    <row r="3">
      <c r="A3" s="5" t="inlineStr">
        <is>
          <t>SFC Ước Tính (bảng dự báo chi tiết)</t>
        </is>
      </c>
    </row>
    <row r="4" ht="28" customHeight="1">
      <c r="A4" s="6" t="inlineStr">
        <is>
          <t>Cột / Chỉ tiêu</t>
        </is>
      </c>
      <c r="B4" s="6" t="inlineStr">
        <is>
          <t>Cách tính (logic nghiệp vụ)</t>
        </is>
      </c>
      <c r="C4" s="6" t="inlineStr">
        <is>
          <t>Loại trừ / Bộ lọc</t>
        </is>
      </c>
      <c r="D4" s="6" t="inlineStr">
        <is>
          <t>Ghi chú</t>
        </is>
      </c>
      <c r="E4" s="6" t="inlineStr">
        <is>
          <t>KGR xác nhận</t>
        </is>
      </c>
    </row>
    <row r="5">
      <c r="A5" s="7" t="inlineStr">
        <is>
          <t>CODE SP</t>
        </is>
      </c>
      <c r="B5" s="8" t="inlineStr">
        <is>
          <t>Nhãn phân nhóm: mã sản phẩm (mã vạch/UPC) của dòng dự báo. Mỗi dòng của bảng là một sản phẩm trong kế hoạch dự báo bán hàng (SFC). Dùng để nhận diện sản phẩm.</t>
        </is>
      </c>
      <c r="C5" s="8" t="inlineStr">
        <is>
          <t>—</t>
        </is>
      </c>
      <c r="D5" s="8" t="inlineStr">
        <is>
          <t>Cột chiều (dimension), không phải số liệu.</t>
        </is>
      </c>
      <c r="E5" s="8" t="inlineStr"/>
    </row>
    <row r="6">
      <c r="A6" s="7" t="inlineStr">
        <is>
          <t>TÊN SẢN PHẨM</t>
        </is>
      </c>
      <c r="B6" s="8" t="inlineStr">
        <is>
          <t>Nhãn phân nhóm: tên hiển thị của sản phẩm trên dòng dự báo. Đi cùng CODE SP để nhận diện sản phẩm.</t>
        </is>
      </c>
      <c r="C6" s="8" t="inlineStr">
        <is>
          <t>—</t>
        </is>
      </c>
      <c r="D6" s="8" t="inlineStr">
        <is>
          <t>Cột chiều (dimension), không phải số liệu.</t>
        </is>
      </c>
      <c r="E6" s="8" t="inlineStr"/>
    </row>
    <row r="7">
      <c r="A7" s="7" t="inlineStr">
        <is>
          <t>MODEL</t>
        </is>
      </c>
      <c r="B7" s="8" t="inlineStr">
        <is>
          <t>Nhãn phân nhóm: model (dòng máy) của sản phẩm trên dòng dự báo. Là cấp gộp trên của sản phẩm; nhiều sản phẩm có thể cùng một model.</t>
        </is>
      </c>
      <c r="C7" s="8" t="inlineStr">
        <is>
          <t>—</t>
        </is>
      </c>
      <c r="D7" s="8" t="inlineStr">
        <is>
          <t>Cột chiều (dimension), không phải số liệu.</t>
        </is>
      </c>
      <c r="E7" s="8" t="inlineStr"/>
    </row>
    <row r="8">
      <c r="A8" s="7" t="inlineStr">
        <is>
          <t>NGÀNH</t>
        </is>
      </c>
      <c r="B8" s="8" t="inlineStr">
        <is>
          <t>Nhãn phân nhóm: tên ngành hàng của sản phẩm trên dòng dự báo (ví dụ Water care, Home care, Cold &amp; Hygiene care, Sanitary care, hoặc Khác). Cho biết sản phẩm thuộc ngành hàng nào.</t>
        </is>
      </c>
      <c r="C8" s="8" t="inlineStr">
        <is>
          <t>—</t>
        </is>
      </c>
      <c r="D8" s="8" t="inlineStr">
        <is>
          <t>Cột chiều (dimension), không phải số liệu.</t>
        </is>
      </c>
      <c r="E8" s="8" t="inlineStr"/>
    </row>
    <row r="9">
      <c r="A9" s="7" t="inlineStr">
        <is>
          <t>NHÓM</t>
        </is>
      </c>
      <c r="B9" s="8" t="inlineStr">
        <is>
          <t>Nhãn phân nhóm: nhóm sản phẩm mà sản phẩm trên dòng dự báo thuộc về (cấp phân loại sản phẩm dưới ngành). Dùng để gom các sản phẩm cùng nhóm.</t>
        </is>
      </c>
      <c r="C9" s="8" t="inlineStr">
        <is>
          <t>—</t>
        </is>
      </c>
      <c r="D9" s="8" t="inlineStr">
        <is>
          <t>Cột chiều (dimension), không phải số liệu.</t>
        </is>
      </c>
      <c r="E9" s="8" t="inlineStr"/>
    </row>
    <row r="10">
      <c r="A10" s="7" t="inlineStr">
        <is>
          <t>ĐƠN VỊ</t>
        </is>
      </c>
      <c r="B10" s="8" t="inlineStr">
        <is>
          <t>Nhãn phân nhóm: mã đơn vị (pháp nhân) mà dòng dự báo thuộc về. Cho biết dự báo gắn với đơn vị/pháp nhân nào.</t>
        </is>
      </c>
      <c r="C10" s="8" t="inlineStr">
        <is>
          <t>—</t>
        </is>
      </c>
      <c r="D10" s="8" t="inlineStr">
        <is>
          <t>Cột chiều (dimension), không phải số liệu.</t>
        </is>
      </c>
      <c r="E10" s="8" t="inlineStr"/>
    </row>
    <row r="11">
      <c r="A11" s="7" t="inlineStr">
        <is>
          <t>KÊNH</t>
        </is>
      </c>
      <c r="B11" s="8" t="inlineStr">
        <is>
          <t>Nhãn phân nhóm: kênh bán hàng của dòng dự báo (ví dụ kênh phân phối, kênh hiện đại...). Cho biết dự báo này thuộc kênh bán nào.</t>
        </is>
      </c>
      <c r="C11" s="8" t="inlineStr">
        <is>
          <t>—</t>
        </is>
      </c>
      <c r="D11" s="8" t="inlineStr">
        <is>
          <t>Cột chiều (dimension), không phải số liệu.</t>
        </is>
      </c>
      <c r="E11" s="8" t="inlineStr"/>
    </row>
    <row r="12">
      <c r="A12" s="7" t="inlineStr">
        <is>
          <t>KHÁCH HÀNG</t>
        </is>
      </c>
      <c r="B12" s="8" t="inlineStr">
        <is>
          <t>Nhãn phân nhóm: tên công ty khách hàng của dòng dự báo. Cho biết dự báo được lập cho khách hàng nào.</t>
        </is>
      </c>
      <c r="C12" s="8" t="inlineStr">
        <is>
          <t>—</t>
        </is>
      </c>
      <c r="D12" s="8" t="inlineStr">
        <is>
          <t>Cột chiều (dimension), không phải số liệu.</t>
        </is>
      </c>
      <c r="E12" s="8" t="inlineStr"/>
    </row>
    <row r="13">
      <c r="A13" s="7" t="inlineStr">
        <is>
          <t>CHUỖI</t>
        </is>
      </c>
      <c r="B13" s="8" t="inlineStr">
        <is>
          <t>Nhãn phân nhóm: chuỗi bán hàng của dòng dự báo (chuỗi cửa hàng/hệ thống bán). Cho biết dự báo này thuộc chuỗi nào.</t>
        </is>
      </c>
      <c r="C13" s="8" t="inlineStr">
        <is>
          <t>—</t>
        </is>
      </c>
      <c r="D13" s="8" t="inlineStr">
        <is>
          <t>Cột chiều (dimension), không phải số liệu.</t>
        </is>
      </c>
      <c r="E13" s="8" t="inlineStr"/>
    </row>
    <row r="14">
      <c r="A14" s="7" t="inlineStr">
        <is>
          <t>PHÂN LOẠI SP</t>
        </is>
      </c>
      <c r="B14" s="8" t="inlineStr">
        <is>
          <t>Nhãn phân nhóm: phân loại hàng bán (Sales Category) của sản phẩm trên dòng dự báo — cho biết sản phẩm thuộc loại hàng bán nào theo danh mục phân loại của Kangaroo.</t>
        </is>
      </c>
      <c r="C14" s="8" t="inlineStr">
        <is>
          <t>—</t>
        </is>
      </c>
      <c r="D14" s="8" t="inlineStr">
        <is>
          <t>Cột chiều (dimension), không phải số liệu.</t>
        </is>
      </c>
      <c r="E14" s="8" t="inlineStr"/>
    </row>
    <row r="15">
      <c r="A15" s="7" t="inlineStr">
        <is>
          <t>XDF (Nhóm Xanh/Đỏ)</t>
        </is>
      </c>
      <c r="B15" s="8" t="inlineStr">
        <is>
          <t>Nhãn phân nhóm: nhóm Xanh/Đỏ của sản phẩm trên dòng dự báo. Xanh = nhóm sản phẩm ưu tiên, Đỏ = nhóm còn lại; mỗi sản phẩm luôn thuộc đúng 1 trong 2 nhóm.</t>
        </is>
      </c>
      <c r="C15" s="8" t="inlineStr">
        <is>
          <t>—</t>
        </is>
      </c>
      <c r="D15" s="8" t="inlineStr">
        <is>
          <t>Cột chiều (dimension), không phải số liệu. Tiêu đề cột trên báo cáo viết tắt là 'XDF' (Xanh/Đỏ).</t>
        </is>
      </c>
      <c r="E15" s="8" t="inlineStr"/>
    </row>
    <row r="16">
      <c r="A16" s="7" t="inlineStr">
        <is>
          <t>QUY HOẠCH SP</t>
        </is>
      </c>
      <c r="B16" s="8" t="inlineStr">
        <is>
          <t>Nhãn phân nhóm: phân loại quy hoạch sản phẩm (ví dụ SP mới / SP hiện hữu...) của sản phẩm trên dòng dự báo, theo danh mục quy hoạch sản phẩm của Kangaroo.</t>
        </is>
      </c>
      <c r="C16" s="8" t="inlineStr">
        <is>
          <t>—</t>
        </is>
      </c>
      <c r="D16" s="8" t="inlineStr">
        <is>
          <t>Cột chiều (dimension), không phải số liệu.</t>
        </is>
      </c>
      <c r="E16" s="8" t="inlineStr"/>
    </row>
    <row r="17">
      <c r="A17" s="7" t="inlineStr">
        <is>
          <t>SX/OEM</t>
        </is>
      </c>
      <c r="B17" s="8" t="inlineStr">
        <is>
          <t>Nhãn phân nhóm: nguồn sản phẩm — tự sản xuất (SX) hay gia công ngoài (OEM) — của sản phẩm trên dòng dự báo.</t>
        </is>
      </c>
      <c r="C17" s="8" t="inlineStr">
        <is>
          <t>—</t>
        </is>
      </c>
      <c r="D17" s="8" t="inlineStr">
        <is>
          <t>Cột chiều (dimension), không phải số liệu. Tiêu đề cột trên báo cáo viết tắt là 'SXOEM'.</t>
        </is>
      </c>
      <c r="E17" s="8" t="inlineStr"/>
    </row>
    <row r="18">
      <c r="A18" s="7" t="inlineStr">
        <is>
          <t>Giá SFC (+VAT)</t>
        </is>
      </c>
      <c r="B18" s="8" t="inlineStr">
        <is>
          <t>Đơn giá bán dự báo (đã gồm thuế GTGT) cho một đơn vị sản phẩm. Tính = DS SFC (tổng doanh số dự báo của dòng, gồm VAT — cộng 5 tuần W1→W5) ÷ Sản lượng SFC (tổng số lượng dự báo của dòng). Nói cách khác là đơn giá bình quân gồm VAT suy ra từ tổng doanh số dự báo chia cho tổng sản lượng dự báo. Nếu sản lượng dự báo = 0 → để trống (không chia được). Làm tròn về số nguyên.</t>
        </is>
      </c>
      <c r="C18" s="8" t="inlineStr">
        <is>
          <t>—</t>
        </is>
      </c>
      <c r="D18" s="8" t="inlineStr">
        <is>
          <t>Là số DẪN XUẤT từ 2 số dự báo gốc (DS SFC và Sản lượng SFC) lấy từ nguồn SFC. Đơn giá này đã GỒM VAT (đối chiếu với 'Doanh thu (−VAT)' là chưa VAT).</t>
        </is>
      </c>
      <c r="E18" s="8" t="inlineStr"/>
    </row>
    <row r="19">
      <c r="A19" s="7" t="inlineStr">
        <is>
          <t>Sản lượng SFC</t>
        </is>
      </c>
      <c r="B19" s="8" t="inlineStr">
        <is>
          <t>Tổng số lượng (sản lượng) bán DỰ BÁO của sản phẩm trong kỳ dự báo. Là số lấy thẳng từ kế hoạch dự báo bán hàng (SFC) cho từng sản phẩm. Không phải sản lượng bán thực tế.</t>
        </is>
      </c>
      <c r="C19" s="8" t="inlineStr">
        <is>
          <t>—</t>
        </is>
      </c>
      <c r="D19" s="8" t="inlineStr">
        <is>
          <t>Số dự báo gốc lấy từ nguồn SFC — chi tiết cách dự báo do hệ SFC tính (nằm ngoài workbook OAC). Tiêu đề cột trên báo cáo là 'Quantity'.</t>
        </is>
      </c>
      <c r="E19" s="8" t="inlineStr"/>
    </row>
    <row r="20">
      <c r="A20" s="7" t="inlineStr">
        <is>
          <t>Đơn giá vốn (Unit Cost)</t>
        </is>
      </c>
      <c r="B20" s="8" t="inlineStr">
        <is>
          <t>Đơn giá vốn DỰ BÁO của một đơn vị sản phẩm — dùng để ước tính giá vốn cho dự báo. Là số lấy thẳng từ kế hoạch dự báo bán hàng (SFC) cho từng sản phẩm. Không phải đơn giá vốn thực tế.</t>
        </is>
      </c>
      <c r="C20" s="8" t="inlineStr">
        <is>
          <t>—</t>
        </is>
      </c>
      <c r="D20" s="8" t="inlineStr">
        <is>
          <t>Số dự báo gốc lấy từ nguồn SFC — chi tiết cách dự báo do hệ SFC tính. Tiêu đề cột trên báo cáo là 'Unit Cost'.</t>
        </is>
      </c>
      <c r="E20" s="8" t="inlineStr"/>
    </row>
    <row r="21">
      <c r="A21" s="7" t="inlineStr">
        <is>
          <t>Giá Vốn (dự báo)</t>
        </is>
      </c>
      <c r="B21" s="8" t="inlineStr">
        <is>
          <t>Tổng giá vốn hàng bán DỰ BÁO của sản phẩm trong kỳ — tương ứng đơn giá vốn dự báo × sản lượng dự báo. Là số lấy thẳng từ kế hoạch dự báo bán hàng (SFC) cho từng sản phẩm. Không phải giá vốn thực tế.</t>
        </is>
      </c>
      <c r="C21" s="8" t="inlineStr">
        <is>
          <t>—</t>
        </is>
      </c>
      <c r="D21" s="8" t="inlineStr">
        <is>
          <t>Số dự báo gốc lấy từ nguồn SFC — chi tiết cách dự báo do hệ SFC tính. Quan hệ chuẩn: Giá vốn dự báo = Đơn giá vốn dự báo × Sản lượng dự báo.</t>
        </is>
      </c>
      <c r="E21" s="8" t="inlineStr"/>
    </row>
    <row r="22">
      <c r="A22" s="7" t="inlineStr">
        <is>
          <t>DS SFC (Doanh số dự báo, +VAT)</t>
        </is>
      </c>
      <c r="B22" s="8" t="inlineStr">
        <is>
          <t>Tổng doanh số bán DỰ BÁO của sản phẩm trong kỳ, GỒM thuế GTGT. Tính = doanh số dự báo của 5 tuần cộng lại: DS W1 + DS W2 + DS W3 + DS W4 + DS W5. Mỗi DS W1..W5 là doanh số dự báo của tuần tương ứng, lấy thẳng từ kế hoạch dự báo bán hàng (SFC). Làm tròn về số nguyên.</t>
        </is>
      </c>
      <c r="C22" s="8" t="inlineStr">
        <is>
          <t>—</t>
        </is>
      </c>
      <c r="D22" s="8">
        <f> tổng 5 cột doanh số tuần dự báo (W1→W5). Các số tuần là dự báo gốc lấy từ nguồn SFC — chi tiết cách dự báo do hệ SFC tính. Đây là doanh số GỒM VAT.</f>
        <v/>
      </c>
      <c r="E22" s="8" t="inlineStr"/>
    </row>
    <row r="23">
      <c r="A23" s="7" t="inlineStr">
        <is>
          <t>Doanh thu (−VAT) (dự báo)</t>
        </is>
      </c>
      <c r="B23" s="8" t="inlineStr">
        <is>
          <t>Doanh thu THUẦN DỰ BÁO (chưa gồm VAT) của sản phẩm trong kỳ. Quan hệ chuẩn: Doanh thu thuần = Doanh số (gồm VAT) − thuế GTGT, tức là phần doanh số đã bỏ thuế. Là số lấy thẳng từ kế hoạch dự báo bán hàng (SFC). Không phải doanh thu thực tế.</t>
        </is>
      </c>
      <c r="C23" s="8" t="inlineStr">
        <is>
          <t>—</t>
        </is>
      </c>
      <c r="D23" s="8" t="inlineStr">
        <is>
          <t>Số dự báo gốc lấy từ nguồn SFC — chi tiết cách dự báo do hệ SFC tính. Đối chiếu: 'DS SFC' là gồm VAT, cột này là chưa VAT. Tiêu đề cột trên báo cáo là 'Doanh thu (-VAT)'.</t>
        </is>
      </c>
      <c r="E23" s="8" t="inlineStr"/>
    </row>
    <row r="24">
      <c r="A24" s="7" t="inlineStr">
        <is>
          <t>Lãi Gộp (dự báo)</t>
        </is>
      </c>
      <c r="B24" s="8" t="inlineStr">
        <is>
          <t>Lợi nhuận gộp DỰ BÁO của sản phẩm trong kỳ. Theo quan hệ chuẩn: Lãi gộp = Doanh thu thuần (−VAT) dự báo − Giá vốn dự báo. Là số lấy thẳng từ kế hoạch dự báo bán hàng (SFC). Không phải lãi gộp thực tế.</t>
        </is>
      </c>
      <c r="C24" s="8" t="inlineStr">
        <is>
          <t>—</t>
        </is>
      </c>
      <c r="D24" s="8" t="inlineStr">
        <is>
          <t>Số dự báo gốc lấy từ nguồn SFC — chi tiết cách dự báo do hệ SFC tính. Quan hệ chuẩn để đối chiếu: Lãi gộp = Doanh thu (−VAT) − Giá vốn.</t>
        </is>
      </c>
      <c r="E24" s="8" t="inlineStr"/>
    </row>
    <row r="25">
      <c r="A25" s="7" t="inlineStr">
        <is>
          <t>%LN Gộp (dự báo)</t>
        </is>
      </c>
      <c r="B25" s="8" t="inlineStr">
        <is>
          <t>Tỷ lệ phần trăm lãi gộp DỰ BÁO trên doanh thu của sản phẩm. Theo quan hệ chuẩn: %LN Gộp = Lãi gộp dự báo ÷ Doanh thu thuần (−VAT) dự báo, hiển thị dạng %. Là số lấy thẳng từ kế hoạch dự báo bán hàng (SFC). Không phải tỷ lệ thực tế.</t>
        </is>
      </c>
      <c r="C25" s="8" t="inlineStr">
        <is>
          <t>—</t>
        </is>
      </c>
      <c r="D25" s="8" t="inlineStr">
        <is>
          <t>Số dự báo gốc lấy từ nguồn SFC — chi tiết cách dự báo do hệ SFC tính. Quan hệ chuẩn để đối chiếu: %LN Gộp = Lãi gộp ÷ Doanh thu. Hiển thị 2 chữ số thập phân (%).</t>
        </is>
      </c>
      <c r="E25" s="8" t="inlineStr"/>
    </row>
    <row r="26">
      <c r="A26" s="7" t="inlineStr">
        <is>
          <t>%CKKM (dự báo)</t>
        </is>
      </c>
      <c r="B26" s="8" t="inlineStr">
        <is>
          <t>Tỷ lệ phần trăm chi phí chiết khấu khuyến mại (CKKM) DỰ BÁO áp cho sản phẩm — phần trăm CKKM trên doanh thu theo kế hoạch dự báo. Là số lấy thẳng từ kế hoạch dự báo bán hàng (SFC). Không phải tỷ lệ CKKM thực tế.</t>
        </is>
      </c>
      <c r="C26" s="8" t="inlineStr">
        <is>
          <t>—</t>
        </is>
      </c>
      <c r="D26" s="8" t="inlineStr">
        <is>
          <t>CKKM = chi phí chiết khấu/khuyến mãi thương mại. Số dự báo gốc lấy từ nguồn SFC — chi tiết cách dự báo do hệ SFC tính. Hiển thị dạng % (số nguyên).</t>
        </is>
      </c>
      <c r="E26" s="8" t="inlineStr"/>
    </row>
    <row r="27">
      <c r="A27" s="7" t="inlineStr">
        <is>
          <t>%GP ròng (dự báo)</t>
        </is>
      </c>
      <c r="B27" s="8" t="inlineStr">
        <is>
          <t>Tỷ lệ phần trăm lợi nhuận gộp RÒNG DỰ BÁO của sản phẩm — là tỷ lệ lãi gộp sau khi đã trừ tiếp chi phí khuyến mại. Theo quan hệ chuẩn: %GP ròng = %LN Gộp dự báo − %CKKM dự báo, hiển thị dạng %. Là số lấy thẳng từ kế hoạch dự báo bán hàng (SFC). Không phải tỷ lệ thực tế.</t>
        </is>
      </c>
      <c r="C27" s="8" t="inlineStr">
        <is>
          <t>—</t>
        </is>
      </c>
      <c r="D27" s="8" t="inlineStr">
        <is>
          <t>Số dự báo gốc lấy từ nguồn SFC — chi tiết cách dự báo do hệ SFC tính. Quan hệ chuẩn để đối chiếu: %GP ròng = %LN Gộp − %CKKM. Hiển thị 2 chữ số thập phân (%).</t>
        </is>
      </c>
      <c r="E27" s="8" t="inlineStr"/>
    </row>
    <row r="28">
      <c r="A28" s="7" t="inlineStr">
        <is>
          <t>CP CKKM (dự báo)</t>
        </is>
      </c>
      <c r="B28" s="8" t="inlineStr">
        <is>
          <t>Số tiền chi phí chiết khấu khuyến mại (CKKM) DỰ BÁO của sản phẩm trong kỳ — tương ứng tỷ lệ %CKKM dự báo áp trên doanh thu dự báo. Là số lấy thẳng từ kế hoạch dự báo bán hàng (SFC). Không phải chi phí CKKM thực tế.</t>
        </is>
      </c>
      <c r="C28" s="8" t="inlineStr">
        <is>
          <t>—</t>
        </is>
      </c>
      <c r="D28" s="8" t="inlineStr">
        <is>
          <t>CKKM = chi phí chiết khấu/khuyến mãi thương mại. Số dự báo gốc lấy từ nguồn SFC — chi tiết cách dự báo do hệ SFC tính. Tiêu đề cột trên báo cáo là 'CP CKKM'.</t>
        </is>
      </c>
      <c r="E28" s="8" t="inlineStr"/>
    </row>
    <row r="29">
      <c r="A29" s="7" t="inlineStr">
        <is>
          <t>VAT (thuế suất suy ra)</t>
        </is>
      </c>
      <c r="B29" s="8" t="inlineStr">
        <is>
          <t>Tỷ lệ thuế GTGT bình quân suy ra cho dòng dự báo. Tính = (DS SFC — doanh số dự báo gồm VAT, cộng 5 tuần W1→W5) ÷ Doanh thu (−VAT) dự báo, rồi trừ 1; hiển thị dạng %. Ý nghĩa: phần chênh giữa doanh số gồm VAT và doanh thu chưa VAT chính là thuế GTGT, nên tỷ số (gồm VAT ÷ chưa VAT) − 1 = thuế suất bình quân. Nếu doanh thu chưa VAT = 0 → để trống (không chia được).</t>
        </is>
      </c>
      <c r="C29" s="8" t="inlineStr">
        <is>
          <t>—</t>
        </is>
      </c>
      <c r="D29" s="8" t="inlineStr">
        <is>
          <t>Là số DẪN XUẤT từ 2 số dự báo gốc (DS SFC gồm VAT và Doanh thu −VAT). Tiêu đề cột trên báo cáo viết tắt là 'VAT'. Hiển thị dạng % (số nguyên).</t>
        </is>
      </c>
      <c r="E29" s="8" t="inlineStr"/>
    </row>
    <row r="30">
      <c r="A30" s="7" t="inlineStr">
        <is>
          <t>DS W1 (doanh số dự báo tuần 1)</t>
        </is>
      </c>
      <c r="B30" s="8" t="inlineStr">
        <is>
          <t>Doanh số bán DỰ BÁO của sản phẩm trong TUẦN 1 của kỳ dự báo (gồm VAT). Là số lấy thẳng từ kế hoạch dự báo bán hàng (SFC), tách theo từng tuần. Không phải doanh số thực tế. (DS SFC tổng = DS W1 + W2 + W3 + W4 + W5.)</t>
        </is>
      </c>
      <c r="C30" s="8" t="inlineStr">
        <is>
          <t>—</t>
        </is>
      </c>
      <c r="D30" s="8" t="inlineStr">
        <is>
          <t>Số dự báo gốc lấy từ nguồn SFC — chi tiết cách dự báo do hệ SFC tính. W1 = tuần 1.</t>
        </is>
      </c>
      <c r="E30" s="8" t="inlineStr"/>
    </row>
    <row r="31">
      <c r="A31" s="7" t="inlineStr">
        <is>
          <t>DS W2 (doanh số dự báo tuần 2)</t>
        </is>
      </c>
      <c r="B31" s="8" t="inlineStr">
        <is>
          <t>Doanh số bán DỰ BÁO của sản phẩm trong TUẦN 2 của kỳ dự báo (gồm VAT). Là số lấy thẳng từ kế hoạch dự báo bán hàng (SFC), tách theo từng tuần. Không phải doanh số thực tế.</t>
        </is>
      </c>
      <c r="C31" s="8" t="inlineStr">
        <is>
          <t>—</t>
        </is>
      </c>
      <c r="D31" s="8" t="inlineStr">
        <is>
          <t>Số dự báo gốc lấy từ nguồn SFC — chi tiết cách dự báo do hệ SFC tính. W2 = tuần 2.</t>
        </is>
      </c>
      <c r="E31" s="8" t="inlineStr"/>
    </row>
    <row r="32">
      <c r="A32" s="7" t="inlineStr">
        <is>
          <t>DS W3 (doanh số dự báo tuần 3)</t>
        </is>
      </c>
      <c r="B32" s="8" t="inlineStr">
        <is>
          <t>Doanh số bán DỰ BÁO của sản phẩm trong TUẦN 3 của kỳ dự báo (gồm VAT). Là số lấy thẳng từ kế hoạch dự báo bán hàng (SFC), tách theo từng tuần. Không phải doanh số thực tế.</t>
        </is>
      </c>
      <c r="C32" s="8" t="inlineStr">
        <is>
          <t>—</t>
        </is>
      </c>
      <c r="D32" s="8" t="inlineStr">
        <is>
          <t>Số dự báo gốc lấy từ nguồn SFC — chi tiết cách dự báo do hệ SFC tính. W3 = tuần 3.</t>
        </is>
      </c>
      <c r="E32" s="8" t="inlineStr"/>
    </row>
    <row r="33">
      <c r="A33" s="7" t="inlineStr">
        <is>
          <t>DS W4 (doanh số dự báo tuần 4)</t>
        </is>
      </c>
      <c r="B33" s="8" t="inlineStr">
        <is>
          <t>Doanh số bán DỰ BÁO của sản phẩm trong TUẦN 4 của kỳ dự báo (gồm VAT). Là số lấy thẳng từ kế hoạch dự báo bán hàng (SFC), tách theo từng tuần. Không phải doanh số thực tế.</t>
        </is>
      </c>
      <c r="C33" s="8" t="inlineStr">
        <is>
          <t>—</t>
        </is>
      </c>
      <c r="D33" s="8" t="inlineStr">
        <is>
          <t>Số dự báo gốc lấy từ nguồn SFC — chi tiết cách dự báo do hệ SFC tính. W4 = tuần 4.</t>
        </is>
      </c>
      <c r="E33" s="8" t="inlineStr"/>
    </row>
    <row r="34">
      <c r="A34" s="7" t="inlineStr">
        <is>
          <t>DS W5 (doanh số dự báo tuần 5)</t>
        </is>
      </c>
      <c r="B34" s="8" t="inlineStr">
        <is>
          <t>Doanh số bán DỰ BÁO của sản phẩm trong TUẦN 5 của kỳ dự báo (gồm VAT). Là số lấy thẳng từ kế hoạch dự báo bán hàng (SFC), tách theo từng tuần; tuần 5 có thể bằng 0 nếu tháng dự báo không có tuần thứ 5. Không phải doanh số thực tế.</t>
        </is>
      </c>
      <c r="C34" s="8" t="inlineStr">
        <is>
          <t>—</t>
        </is>
      </c>
      <c r="D34" s="8" t="inlineStr">
        <is>
          <t>Số dự báo gốc lấy từ nguồn SFC — chi tiết cách dự báo do hệ SFC tính. W5 = tuần 5.</t>
        </is>
      </c>
      <c r="E34" s="8" t="inlineStr"/>
    </row>
    <row r="35">
      <c r="A35" s="7" t="inlineStr">
        <is>
          <t>SL W1 (sản lượng dự báo tuần 1)</t>
        </is>
      </c>
      <c r="B35" s="8" t="inlineStr">
        <is>
          <t>Sản lượng (số lượng) bán DỰ BÁO của sản phẩm trong TUẦN 1 của kỳ dự báo. Là số lấy thẳng từ kế hoạch dự báo bán hàng (SFC), tách theo từng tuần. Không phải sản lượng thực tế. (Sản lượng SFC tổng tương ứng tổng các tuần SL W1..W5.)</t>
        </is>
      </c>
      <c r="C35" s="8" t="inlineStr">
        <is>
          <t>—</t>
        </is>
      </c>
      <c r="D35" s="8" t="inlineStr">
        <is>
          <t>Số dự báo gốc lấy từ nguồn SFC — chi tiết cách dự báo do hệ SFC tính. SL = sản lượng, W1 = tuần 1.</t>
        </is>
      </c>
      <c r="E35" s="8" t="inlineStr"/>
    </row>
    <row r="36">
      <c r="A36" s="7" t="inlineStr">
        <is>
          <t>SL W2 (sản lượng dự báo tuần 2)</t>
        </is>
      </c>
      <c r="B36" s="8" t="inlineStr">
        <is>
          <t>Sản lượng (số lượng) bán DỰ BÁO của sản phẩm trong TUẦN 2 của kỳ dự báo. Là số lấy thẳng từ kế hoạch dự báo bán hàng (SFC), tách theo từng tuần. Không phải sản lượng thực tế.</t>
        </is>
      </c>
      <c r="C36" s="8" t="inlineStr">
        <is>
          <t>—</t>
        </is>
      </c>
      <c r="D36" s="8" t="inlineStr">
        <is>
          <t>Số dự báo gốc lấy từ nguồn SFC — chi tiết cách dự báo do hệ SFC tính. SL = sản lượng, W2 = tuần 2.</t>
        </is>
      </c>
      <c r="E36" s="8" t="inlineStr"/>
    </row>
    <row r="37">
      <c r="A37" s="7" t="inlineStr">
        <is>
          <t>SL W3 (sản lượng dự báo tuần 3)</t>
        </is>
      </c>
      <c r="B37" s="8" t="inlineStr">
        <is>
          <t>Sản lượng (số lượng) bán DỰ BÁO của sản phẩm trong TUẦN 3 của kỳ dự báo. Là số lấy thẳng từ kế hoạch dự báo bán hàng (SFC), tách theo từng tuần. Không phải sản lượng thực tế.</t>
        </is>
      </c>
      <c r="C37" s="8" t="inlineStr">
        <is>
          <t>—</t>
        </is>
      </c>
      <c r="D37" s="8" t="inlineStr">
        <is>
          <t>Số dự báo gốc lấy từ nguồn SFC — chi tiết cách dự báo do hệ SFC tính. SL = sản lượng, W3 = tuần 3.</t>
        </is>
      </c>
      <c r="E37" s="8" t="inlineStr"/>
    </row>
    <row r="38">
      <c r="A38" s="7" t="inlineStr">
        <is>
          <t>SL W4 (sản lượng dự báo tuần 4)</t>
        </is>
      </c>
      <c r="B38" s="8" t="inlineStr">
        <is>
          <t>Sản lượng (số lượng) bán DỰ BÁO của sản phẩm trong TUẦN 4 của kỳ dự báo. Là số lấy thẳng từ kế hoạch dự báo bán hàng (SFC), tách theo từng tuần. Không phải sản lượng thực tế.</t>
        </is>
      </c>
      <c r="C38" s="8" t="inlineStr">
        <is>
          <t>—</t>
        </is>
      </c>
      <c r="D38" s="8" t="inlineStr">
        <is>
          <t>Số dự báo gốc lấy từ nguồn SFC — chi tiết cách dự báo do hệ SFC tính. SL = sản lượng, W4 = tuần 4.</t>
        </is>
      </c>
      <c r="E38" s="8" t="inlineStr"/>
    </row>
    <row r="39">
      <c r="A39" s="7" t="inlineStr">
        <is>
          <t>SL W5 (sản lượng dự báo tuần 5)</t>
        </is>
      </c>
      <c r="B39" s="8" t="inlineStr">
        <is>
          <t>Sản lượng (số lượng) bán DỰ BÁO của sản phẩm trong TUẦN 5 của kỳ dự báo. Là số lấy thẳng từ kế hoạch dự báo bán hàng (SFC), tách theo từng tuần; tuần 5 có thể bằng 0 nếu tháng dự báo không có tuần thứ 5. Không phải sản lượng thực tế.</t>
        </is>
      </c>
      <c r="C39" s="8" t="inlineStr">
        <is>
          <t>—</t>
        </is>
      </c>
      <c r="D39" s="8" t="inlineStr">
        <is>
          <t>Số dự báo gốc lấy từ nguồn SFC — chi tiết cách dự báo do hệ SFC tính. SL = sản lượng, W5 = tuần 5.</t>
        </is>
      </c>
      <c r="E39" s="8" t="inlineStr"/>
    </row>
    <row r="40">
      <c r="A40" s="5" t="inlineStr">
        <is>
          <t>Biểu đồ SFC</t>
        </is>
      </c>
    </row>
    <row r="41" ht="28" customHeight="1">
      <c r="A41" s="6" t="inlineStr">
        <is>
          <t>Cột / Chỉ tiêu</t>
        </is>
      </c>
      <c r="B41" s="6" t="inlineStr">
        <is>
          <t>Cách tính (logic nghiệp vụ)</t>
        </is>
      </c>
      <c r="C41" s="6" t="inlineStr">
        <is>
          <t>Loại trừ / Bộ lọc</t>
        </is>
      </c>
      <c r="D41" s="6" t="inlineStr">
        <is>
          <t>Ghi chú</t>
        </is>
      </c>
      <c r="E41" s="6" t="inlineStr">
        <is>
          <t>KGR xác nhận</t>
        </is>
      </c>
    </row>
    <row r="42">
      <c r="A42" s="7" t="inlineStr">
        <is>
          <t>Tổng Sản lượng SFC (ô số nổi)</t>
        </is>
      </c>
      <c r="B42" s="8" t="inlineStr">
        <is>
          <t>Ô số tổng (performance tile) hiển thị TỔNG sản lượng bán DỰ BÁO của toàn bộ các dòng đang hiện trên canvas (cộng cột 'Sản lượng SFC' của mọi sản phẩm sau khi áp bộ lọc canvas). Là số dự báo, không phải sản lượng thực tế.</t>
        </is>
      </c>
      <c r="C42" s="8" t="inlineStr">
        <is>
          <t>Theo bộ lọc đang chọn trên canvas (đổi bộ lọc → đổi tổng).</t>
        </is>
      </c>
      <c r="D42" s="8" t="inlineStr">
        <is>
          <t>Số dự báo gốc lấy từ nguồn SFC — chi tiết cách dự báo do hệ SFC tính. Đây là ô tổng của cột 'Sản lượng SFC' (Quantity) trong bảng chi tiết.</t>
        </is>
      </c>
      <c r="E42" s="8" t="inlineStr"/>
    </row>
    <row r="43">
      <c r="A43" s="7" t="inlineStr">
        <is>
          <t>Tổng DS SFC (ô số nổi)</t>
        </is>
      </c>
      <c r="B43" s="8" t="inlineStr">
        <is>
          <t>Ô số tổng (performance tile) hiển thị TỔNG doanh số bán DỰ BÁO (gồm VAT) của toàn bộ các dòng đang hiện trên canvas. Bằng tổng của cột 'DS SFC' (mỗi dòng = DS W1 + W2 + W3 + W4 + W5) cộng trên mọi sản phẩm sau khi áp bộ lọc canvas. Là số dự báo, không phải doanh số thực tế.</t>
        </is>
      </c>
      <c r="C43" s="8" t="inlineStr">
        <is>
          <t>Theo bộ lọc đang chọn trên canvas (đổi bộ lọc → đổi tổng).</t>
        </is>
      </c>
      <c r="D43" s="8" t="inlineStr">
        <is>
          <t>Số dự báo gốc lấy từ nguồn SFC — chi tiết cách dự báo do hệ SFC tính. Đây là ô tổng của cột 'DS SFC' trong bảng chi tiết.</t>
        </is>
      </c>
      <c r="E43" s="8" t="inlineStr"/>
    </row>
  </sheetData>
  <mergeCells count="2">
    <mergeCell ref="A40:E40"/>
    <mergeCell ref="A3:E3"/>
  </mergeCells>
  <dataValidations count="1">
    <dataValidation sqref="E4:E44" showDropDown="0" showInputMessage="0" showErrorMessage="0" allowBlank="1" type="list">
      <formula1>"Y,N"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1"/>
  <sheetViews>
    <sheetView workbookViewId="0">
      <pane ySplit="2" topLeftCell="A3" activePane="bottomLeft" state="frozen"/>
      <selection pane="bottomLeft" activeCell="A1" sqref="A1"/>
    </sheetView>
  </sheetViews>
  <sheetFormatPr baseColWidth="8" defaultRowHeight="15"/>
  <cols>
    <col width="26" customWidth="1" min="1" max="1"/>
    <col width="70" customWidth="1" min="2" max="2"/>
    <col width="40" customWidth="1" min="3" max="3"/>
    <col width="34" customWidth="1" min="4" max="4"/>
    <col width="12" customWidth="1" min="5" max="5"/>
  </cols>
  <sheetData>
    <row r="1">
      <c r="A1" s="4" t="inlineStr">
        <is>
          <t xml:space="preserve">(KGR) BRD.BC03-04-05_SFC/MIS · SFC Thực Tế · </t>
        </is>
      </c>
    </row>
    <row r="3">
      <c r="A3" s="5" t="inlineStr">
        <is>
          <t>SFC Thực Tế (bảng chi tiết)</t>
        </is>
      </c>
    </row>
    <row r="4" ht="28" customHeight="1">
      <c r="A4" s="6" t="inlineStr">
        <is>
          <t>Cột / Chỉ tiêu</t>
        </is>
      </c>
      <c r="B4" s="6" t="inlineStr">
        <is>
          <t>Cách tính (logic nghiệp vụ)</t>
        </is>
      </c>
      <c r="C4" s="6" t="inlineStr">
        <is>
          <t>Loại trừ / Bộ lọc</t>
        </is>
      </c>
      <c r="D4" s="6" t="inlineStr">
        <is>
          <t>Ghi chú</t>
        </is>
      </c>
      <c r="E4" s="6" t="inlineStr">
        <is>
          <t>KGR xác nhận</t>
        </is>
      </c>
    </row>
    <row r="5">
      <c r="A5" s="7" t="inlineStr">
        <is>
          <t>CODE SP (Mã hàng)</t>
        </is>
      </c>
      <c r="B5" s="8" t="inlineStr">
        <is>
          <t>Mã vạch/Code sản phẩm của dòng — nhãn nhận diện sản phẩm. Cột chiều (dimension), không phải số liệu; dùng để gom và nhận biết từng sản phẩm trên dòng giao dịch.</t>
        </is>
      </c>
      <c r="C5" s="8" t="inlineStr">
        <is>
          <t>—</t>
        </is>
      </c>
      <c r="D5" s="8" t="inlineStr">
        <is>
          <t>Cột chiều (dimension).</t>
        </is>
      </c>
      <c r="E5" s="8" t="inlineStr"/>
    </row>
    <row r="6">
      <c r="A6" s="7" t="inlineStr">
        <is>
          <t>TÊN SẢN PHẨM (Item Name)</t>
        </is>
      </c>
      <c r="B6" s="8" t="inlineStr">
        <is>
          <t>Tên đầy đủ của sản phẩm trên dòng — nhãn mô tả sản phẩm. Cột chiều (dimension), không phải số liệu.</t>
        </is>
      </c>
      <c r="C6" s="8" t="inlineStr">
        <is>
          <t>—</t>
        </is>
      </c>
      <c r="D6" s="8" t="inlineStr">
        <is>
          <t>Cột chiều (dimension).</t>
        </is>
      </c>
      <c r="E6" s="8" t="inlineStr"/>
    </row>
    <row r="7">
      <c r="A7" s="7" t="inlineStr">
        <is>
          <t>MODEL (Model name)</t>
        </is>
      </c>
      <c r="B7" s="8" t="inlineStr">
        <is>
          <t>Tên model (dòng máy/cấp model) của sản phẩm — nhãn nhóm sản phẩm theo model. Cột chiều (dimension), không phải số liệu.</t>
        </is>
      </c>
      <c r="C7" s="8" t="inlineStr">
        <is>
          <t>—</t>
        </is>
      </c>
      <c r="D7" s="8" t="inlineStr">
        <is>
          <t>Cột chiều (dimension). Model dùng làm khoá tra tỷ lệ khuyến mại CKKM (xem cột %CKKM).</t>
        </is>
      </c>
      <c r="E7" s="8" t="inlineStr"/>
    </row>
    <row r="8">
      <c r="A8" s="7" t="inlineStr">
        <is>
          <t>NGÀNH (Tên Ngành)</t>
        </is>
      </c>
      <c r="B8" s="8" t="inlineStr">
        <is>
          <t>Tên ngành hàng của dòng (Water care / Home care / Cold &amp; Hygiene care / Sanitary care / Khác). Ngành được xác định theo phân loại ngành ghi trên dòng giao dịch tại thời điểm phát sinh (capture-basis). Cột chiều (dimension), không phải số liệu.</t>
        </is>
      </c>
      <c r="C8" s="8" t="inlineStr">
        <is>
          <t>—</t>
        </is>
      </c>
      <c r="D8" s="8" t="inlineStr">
        <is>
          <t>Cột chiều (dimension). Ngành xác định tại thời điểm phát sinh giao dịch (capture-basis).</t>
        </is>
      </c>
      <c r="E8" s="8" t="inlineStr"/>
    </row>
    <row r="9">
      <c r="A9" s="7" t="inlineStr">
        <is>
          <t>NHÓM (Nhóm SP)</t>
        </is>
      </c>
      <c r="B9" s="8" t="inlineStr">
        <is>
          <t>Tên nhóm sản phẩm của dòng — nhãn phân nhóm sản phẩm. Cột chiều (dimension), không phải số liệu.</t>
        </is>
      </c>
      <c r="C9" s="8" t="inlineStr">
        <is>
          <t>—</t>
        </is>
      </c>
      <c r="D9" s="8" t="inlineStr">
        <is>
          <t>Cột chiều (dimension).</t>
        </is>
      </c>
      <c r="E9" s="8" t="inlineStr"/>
    </row>
    <row r="10">
      <c r="A10" s="7" t="inlineStr">
        <is>
          <t>ĐƠN VỊ (Mã Đơn Vị)</t>
        </is>
      </c>
      <c r="B10" s="8" t="inlineStr">
        <is>
          <t>Mã đơn vị (pháp nhân/công ty hạch toán) của dòng giao dịch — nhãn nhận diện đơn vị. Cột chiều (dimension), không phải số liệu.</t>
        </is>
      </c>
      <c r="C10" s="8" t="inlineStr">
        <is>
          <t>—</t>
        </is>
      </c>
      <c r="D10" s="8" t="inlineStr">
        <is>
          <t>Cột chiều (dimension).</t>
        </is>
      </c>
      <c r="E10" s="8" t="inlineStr"/>
    </row>
    <row r="11">
      <c r="A11" s="7" t="inlineStr">
        <is>
          <t>KÊNH (Tên Kênh)</t>
        </is>
      </c>
      <c r="B11" s="8" t="inlineStr">
        <is>
          <t>Tên kênh bán hàng của dòng — nhãn kênh. Cột chiều (dimension), không phải số liệu.</t>
        </is>
      </c>
      <c r="C11" s="8" t="inlineStr">
        <is>
          <t>—</t>
        </is>
      </c>
      <c r="D11" s="8" t="inlineStr">
        <is>
          <t>Cột chiều (dimension). Kênh là khoá ưu tiên 1 khi tra tỷ lệ khuyến mại CKKM (xem cột %CKKM).</t>
        </is>
      </c>
      <c r="E11" s="8" t="inlineStr"/>
    </row>
    <row r="12">
      <c r="A12" s="7" t="inlineStr">
        <is>
          <t>KHÁCH (Tên Khách Hàng)</t>
        </is>
      </c>
      <c r="B12" s="8" t="inlineStr">
        <is>
          <t>Tên khách hàng (công ty/đối tác mua) của dòng — nhãn khách hàng. Cột chiều (dimension), không phải số liệu.</t>
        </is>
      </c>
      <c r="C12" s="8" t="inlineStr">
        <is>
          <t>—</t>
        </is>
      </c>
      <c r="D12" s="8" t="inlineStr">
        <is>
          <t>Cột chiều (dimension).</t>
        </is>
      </c>
      <c r="E12" s="8" t="inlineStr"/>
    </row>
    <row r="13">
      <c r="A13" s="7" t="inlineStr">
        <is>
          <t>CHUỖI (Tên Chuỗi)</t>
        </is>
      </c>
      <c r="B13" s="8" t="inlineStr">
        <is>
          <t>Tên chuỗi bán hàng của dòng — nhãn chuỗi. Cột chiều (dimension), không phải số liệu.</t>
        </is>
      </c>
      <c r="C13" s="8" t="inlineStr">
        <is>
          <t>—</t>
        </is>
      </c>
      <c r="D13" s="8" t="inlineStr">
        <is>
          <t>Cột chiều (dimension). Chuỗi là khoá ưu tiên 2 khi tra tỷ lệ khuyến mại CKKM (xem cột %CKKM).</t>
        </is>
      </c>
      <c r="E13" s="8" t="inlineStr"/>
    </row>
    <row r="14">
      <c r="A14" s="7" t="inlineStr">
        <is>
          <t>PHÂN LOẠI SP (Sales Category)</t>
        </is>
      </c>
      <c r="B14" s="8" t="inlineStr">
        <is>
          <t>Phân loại bán hàng của sản phẩm trên dòng (nhóm hàng bán) — nhãn phân loại. Cột chiều (dimension), không phải số liệu.</t>
        </is>
      </c>
      <c r="C14" s="8" t="inlineStr">
        <is>
          <t>—</t>
        </is>
      </c>
      <c r="D14" s="8" t="inlineStr">
        <is>
          <t>Cột chiều (dimension).</t>
        </is>
      </c>
      <c r="E14" s="8" t="inlineStr"/>
    </row>
    <row r="15">
      <c r="A15" s="7" t="inlineStr">
        <is>
          <t>XDF (Nhóm xanh đỏ)</t>
        </is>
      </c>
      <c r="B15" s="8" t="inlineStr">
        <is>
          <t>Nhãn phân loại Xanh/Đỏ của sản phẩm: Xanh = nhóm sản phẩm ưu tiên, Đỏ = nhóm còn lại. Mỗi sản phẩm luôn thuộc đúng 1 trong 2 nhóm. Cột chiều (dimension), không phải số liệu.</t>
        </is>
      </c>
      <c r="C15" s="8" t="inlineStr">
        <is>
          <t>—</t>
        </is>
      </c>
      <c r="D15" s="8" t="inlineStr">
        <is>
          <t>Cột chiều (dimension). Xanh = nhóm ưu tiên, Đỏ = nhóm còn lại.</t>
        </is>
      </c>
      <c r="E15" s="8" t="inlineStr"/>
    </row>
    <row r="16">
      <c r="A16" s="7" t="inlineStr">
        <is>
          <t>QUY HOẠCH SP (Quy hoạch SP)</t>
        </is>
      </c>
      <c r="B16" s="8" t="inlineStr">
        <is>
          <t>Nhãn quy hoạch sản phẩm — phân loại sản phẩm theo quy hoạch (ví dụ giá trị 'SP mới' dùng để nhận biết sản phẩm mới). Cột chiều (dimension), không phải số liệu.</t>
        </is>
      </c>
      <c r="C16" s="8" t="inlineStr">
        <is>
          <t>—</t>
        </is>
      </c>
      <c r="D16" s="8" t="inlineStr">
        <is>
          <t>Cột chiều (dimension). Giá trị 'SP mới' là cờ nhận biết sản phẩm mới (dùng ở các chỉ tiêu tỷ trọng SP mới của báo cáo khác).</t>
        </is>
      </c>
      <c r="E16" s="8" t="inlineStr"/>
    </row>
    <row r="17">
      <c r="A17" s="7" t="inlineStr">
        <is>
          <t>SX/OEM (Phân nhóm SP)</t>
        </is>
      </c>
      <c r="B17" s="8" t="inlineStr">
        <is>
          <t>Nhãn nguồn gốc sản xuất của sản phẩm: tự sản xuất (SX) hay gia công ngoài (OEM). Cột chiều (dimension), không phải số liệu. (SX = sản xuất nội bộ; OEM = đặt gia công bên ngoài.)</t>
        </is>
      </c>
      <c r="C17" s="8" t="inlineStr">
        <is>
          <t>—</t>
        </is>
      </c>
      <c r="D17" s="8" t="inlineStr">
        <is>
          <t>Cột chiều (dimension).</t>
        </is>
      </c>
      <c r="E17" s="8" t="inlineStr"/>
    </row>
    <row r="18">
      <c r="A18" s="7" t="inlineStr">
        <is>
          <t>ĐƠN GIÁ (-VAT)</t>
        </is>
      </c>
      <c r="B18" s="8" t="inlineStr">
        <is>
          <t>Đơn giá bán bình quân chưa thuế GTGT của một đơn vị sản phẩm trên dòng. = Doanh thu thực tế của dòng ÷ Số lượng của dòng. Trong đó Doanh thu thực tế = doanh thu gốc chưa VAT trừ phần chiết khấu trên dòng (xem cột Doanh thu thực tế); Số lượng là số lượng bán của dòng. Trên báo cáo, cột hiển thị lấy dấu ngược lại (đổi dấu) so với giá trị gốc để trình bày dương cho dòng bán. Nếu Số lượng = 0 → để trống.</t>
        </is>
      </c>
      <c r="C18" s="8" t="inlineStr">
        <is>
          <t>Cùng phạm vi/bộ lọc với Doanh thu thực tế của dòng (xem cột Doanh thu thực tế).</t>
        </is>
      </c>
      <c r="D18" s="8" t="inlineStr">
        <is>
          <t>Đơn giá thuần (chưa VAT). VAT = thuế giá trị gia tăng.</t>
        </is>
      </c>
      <c r="E18" s="8" t="inlineStr"/>
    </row>
    <row r="19">
      <c r="A19" s="7" t="inlineStr">
        <is>
          <t>ĐƠN GIÁ (+VAT)</t>
        </is>
      </c>
      <c r="B19" s="8" t="inlineStr">
        <is>
          <t>Đơn giá bán bình quân đã gồm thuế GTGT của một đơn vị sản phẩm trên dòng. = Doanh số thực tế của dòng ÷ Số lượng của dòng. Trong đó Doanh số thực tế = Doanh thu thực tế + tiền thuế GTGT của dòng (xem cột Doanh số thực tế và Đơn giá (-VAT)). Trên báo cáo, cột hiển thị lấy dấu ngược lại (đổi dấu) so với giá trị gốc để trình bày dương cho dòng bán. Nếu Số lượng = 0 → để trống.</t>
        </is>
      </c>
      <c r="C19" s="8" t="inlineStr">
        <is>
          <t>Cùng phạm vi/bộ lọc với Doanh số thực tế của dòng.</t>
        </is>
      </c>
      <c r="D19" s="8" t="inlineStr">
        <is>
          <t>Đơn giá gồm VAT. VAT = thuế giá trị gia tăng.</t>
        </is>
      </c>
      <c r="E19" s="8" t="inlineStr"/>
    </row>
    <row r="20">
      <c r="A20" s="7" t="inlineStr">
        <is>
          <t>SỐ LƯỢNG (QUANTITY)</t>
        </is>
      </c>
      <c r="B20" s="8" t="inlineStr">
        <is>
          <t>Số lượng sản phẩm bán của dòng giao dịch. Trên báo cáo, cột hiển thị lấy dấu ngược lại (đổi dấu) so với giá trị gốc để trình bày số dương cho dòng bán; chứng từ điều chỉnh giảm (credit memo/trả hàng) làm số lượng đổi chiều tương ứng.</t>
        </is>
      </c>
      <c r="C20" s="8" t="inlineStr">
        <is>
          <t>—</t>
        </is>
      </c>
      <c r="D20" s="8" t="inlineStr">
        <is>
          <t>Số lượng bán; là số nguyên/decimal tuỳ đơn vị tính.</t>
        </is>
      </c>
      <c r="E20" s="8" t="inlineStr"/>
    </row>
    <row r="21">
      <c r="A21" s="7" t="inlineStr">
        <is>
          <t>DSTT — Doanh số thực tế</t>
        </is>
      </c>
      <c r="B21" s="8" t="inlineStr">
        <is>
          <t>Doanh số bán hàng THỰC TẾ (đã gồm thuế GTGT) của dòng. = Doanh thu thực tế của dòng + tiền thuế GTGT của dòng. Trong đó: (1) Doanh thu thực tế là doanh thu thuần chưa VAT (xem cột Doanh thu thực tế); (2) tiền thuế GTGT của dòng = thuế GTGT ghi trên dòng (theo thuế suất của dòng) cộng phần thuế tính trên khoản chiết khấu (chiết khấu × thuế suất của dòng). Hợp nhất hóa đơn bán (dấu +) với chứng từ điều chỉnh giảm/credit memo (dấu −).</t>
        </is>
      </c>
      <c r="C21" s="8" t="inlineStr">
        <is>
          <t>Chỉ giao dịch ĐÃ hạch toán (đã ghi sổ kế toán kỳ tương ứng); chỉ phát sinh thuộc tài khoản doanh thu và tài khoản thuế GTGT đầu ra (nhóm 'Income' và 'phải nộp ngắn hạn'); loại dòng có loại mặt hàng là 'dòng chiết khấu' (Discount); loại giao dịch của công ty con/chi nhánh nội bộ (mã phân khúc bán nội bộ = 14).</t>
        </is>
      </c>
      <c r="D21" s="8" t="inlineStr">
        <is>
          <t>Doanh số = doanh thu gồm VAT. Đây là doanh số thực tế cấp dòng giao dịch (không lũy kế theo ngày như báo cáo tổng hợp BC01).</t>
        </is>
      </c>
      <c r="E21" s="8" t="inlineStr"/>
    </row>
    <row r="22">
      <c r="A22" s="7" t="inlineStr">
        <is>
          <t>DTTT — Doanh thu thực tế</t>
        </is>
      </c>
      <c r="B22" s="8" t="inlineStr">
        <is>
          <t>Doanh thu THUẦN (chưa VAT) của dòng. = Doanh thu gốc chưa VAT của dòng − phần chiết khấu (giảm trừ) của dòng. Trong đó: doanh thu gốc lấy theo giá trị doanh thu ghi trên dòng hóa đơn; phần chiết khấu là số tiền giảm trừ gắn với dòng (nếu không có thì coi = 0). Hợp nhất hóa đơn bán (dấu +) với chứng từ điều chỉnh giảm/credit memo (dấu −).</t>
        </is>
      </c>
      <c r="C22" s="8" t="inlineStr">
        <is>
          <t>Chỉ giao dịch ĐÃ hạch toán; chỉ phát sinh thuộc tài khoản doanh thu (và thuế GTGT đầu ra); loại dòng có loại mặt hàng là 'dòng chiết khấu' (Discount); loại giao dịch của công ty con/chi nhánh nội bộ (mã phân khúc bán nội bộ = 14).</t>
        </is>
      </c>
      <c r="D22" s="8" t="inlineStr">
        <is>
          <t>Doanh thu thuần (chưa VAT). Là cơ sở để tính Lãi gộp, %LN gộp, CKKM của dòng.</t>
        </is>
      </c>
      <c r="E22" s="8" t="inlineStr"/>
    </row>
    <row r="23">
      <c r="A23" s="7" t="inlineStr">
        <is>
          <t>UNIT COST — Đơn giá vốn</t>
        </is>
      </c>
      <c r="B23" s="8" t="inlineStr">
        <is>
          <t>Đơn giá vốn của một đơn vị sản phẩm trên dòng, lấy theo 3 lớp ưu tiên: (1) 'Giá vốn mục tiêu' — tra theo mã sản phẩm (MSP) + tháng của giao dịch; nếu có và khác 0 thì dùng. (2) Nếu không có → 'Giá vốn tồn kho' — tra theo mã item + đơn vị (pháp nhân) + kỳ; nếu có và khác 0 thì dùng. (3) Nếu vẫn không có → = (Doanh thu thực tế của dòng ÷ 2) ÷ |Số lượng| (tức 50% doanh thu chia cho số lượng). Khi nhiều dòng gộp lại, giá trị hiển thị lấy MỨC LỚN NHẤT (MAX) trong nhóm. ('Giá vốn mục tiêu' = bảng đơn giá vốn kế hoạch theo model/MSP; 'Giá vốn tồn kho' = đơn giá vốn bình quân tồn kho theo kỳ.)</t>
        </is>
      </c>
      <c r="C23" s="8" t="inlineStr">
        <is>
          <t>Bảng 'Giá vốn mục tiêu' và 'Giá vốn tồn kho' chỉ lấy bản ghi còn hiệu lực (không bị đánh dấu ngừng dùng).</t>
        </is>
      </c>
      <c r="D23" s="8" t="inlineStr">
        <is>
          <t>Là đơn giá vốn / 1 đơn vị (chưa nhân số lượng). Nhân với |Số lượng| sẽ ra Giá vốn của dòng.</t>
        </is>
      </c>
      <c r="E23" s="8" t="inlineStr"/>
    </row>
    <row r="24">
      <c r="A24" s="7" t="inlineStr">
        <is>
          <t>Giá Vốn</t>
        </is>
      </c>
      <c r="B24" s="8" t="inlineStr">
        <is>
          <t>Giá vốn hàng bán của dòng. = Đơn giá vốn × |Số lượng| (trị tuyệt đối số lượng). Đơn giá vốn lấy theo 3 lớp ưu tiên: (1) 'Giá vốn mục tiêu' tra theo mã sản phẩm (MSP) + tháng giao dịch (nếu có, khác 0); (2) nếu không có → 'Giá vốn tồn kho' tra theo mã item + đơn vị (pháp nhân) + kỳ (nếu có, khác 0); (3) nếu vẫn không có → = 50% Doanh thu thực tế của dòng. Quy ước dấu: chứng từ điều chỉnh giảm (credit memo) đóng góp dấu âm theo số lượng/doanh thu của nó.</t>
        </is>
      </c>
      <c r="C24" s="8" t="inlineStr">
        <is>
          <t>Bảng giá vốn mục tiêu/tồn kho chỉ lấy bản ghi còn hiệu lực. Cùng phạm vi giao dịch với Doanh thu thực tế của dòng (đã hạch toán; loại dòng chiết khấu; loại giao dịch công ty con/chi nhánh nội bộ).</t>
        </is>
      </c>
      <c r="D24" s="8" t="inlineStr">
        <is>
          <t>Giá vốn 3 lớp (mục tiêu → tồn kho → 50% doanh thu) — giống cơ chế chuẩn của báo cáo KGR.</t>
        </is>
      </c>
      <c r="E24" s="8" t="inlineStr"/>
    </row>
    <row r="25">
      <c r="A25" s="7" t="inlineStr">
        <is>
          <t>LN Gộp — Lãi gộp</t>
        </is>
      </c>
      <c r="B25" s="8" t="inlineStr">
        <is>
          <t>Lãi gộp (lợi nhuận gộp) của dòng = Doanh thu thực tế của dòng − Giá vốn của dòng. Hai thành phần cùng dòng, cùng phạm vi/bộ lọc (như mô tả ở 2 cột Doanh thu thực tế và Giá Vốn).</t>
        </is>
      </c>
      <c r="C25" s="8" t="inlineStr">
        <is>
          <t>Cùng phạm vi với Doanh thu thực tế và Giá Vốn của dòng.</t>
        </is>
      </c>
      <c r="D25" s="8" t="inlineStr">
        <is>
          <t>Lãi gộp tuyệt đối (số tiền) của dòng. Phân biệt với cột %LN Gộp (tỷ lệ).</t>
        </is>
      </c>
      <c r="E25" s="8" t="inlineStr"/>
    </row>
    <row r="26">
      <c r="A26" s="7" t="inlineStr">
        <is>
          <t>%LN Gộp</t>
        </is>
      </c>
      <c r="B26" s="8" t="inlineStr">
        <is>
          <t>Tỷ lệ lãi gộp trên doanh thu của dòng = Lãi gộp (LN Gộp) ÷ Doanh thu thực tế của dòng, ra %. Trong đó Lãi gộp = Doanh thu thực tế − Giá vốn (cùng dòng). Nếu Doanh thu thực tế = 0 → để trống.</t>
        </is>
      </c>
      <c r="C26" s="8" t="inlineStr">
        <is>
          <t>Cùng phạm vi với Doanh thu thực tế của dòng.</t>
        </is>
      </c>
      <c r="D26" s="8" t="inlineStr">
        <is>
          <t>Là tỷ lệ %; phản ánh biên lãi gộp của dòng.</t>
        </is>
      </c>
      <c r="E26" s="8" t="inlineStr"/>
    </row>
    <row r="27">
      <c r="A27" s="7" t="inlineStr">
        <is>
          <t>%CKKM — Tỷ lệ chiết khấu khuyến mại (CKKM Per)</t>
        </is>
      </c>
      <c r="B27" s="8" t="inlineStr">
        <is>
          <t>Tỷ lệ % chiết khấu khuyến mại áp cho dòng, lấy từ chương trình khuyến mãi (trade promotion) theo thứ tự ưu tiên: (1) nếu có tỷ lệ khuyến mại theo tổ hợp (Model sản phẩm + Kênh bán + kỳ) → dùng tỷ lệ theo KÊNH; (2) nếu không có kênh nhưng có theo tổ hợp (Model sản phẩm + Chuỗi + kỳ) → dùng tỷ lệ theo CHUỖI; (3) nếu cả hai đều không có → = 0. Tỷ lệ được cộng gộp (tổng) theo tổ hợp Model + Kênh/Chuỗi + kỳ của chương trình khuyến mãi rồi khớp vào dòng theo Model + Kênh/Chuỗi của dòng. (CKKM = chi phí chiết khấu/khuyến mãi thương mại.)</t>
        </is>
      </c>
      <c r="C27" s="8" t="inlineStr">
        <is>
          <t>—</t>
        </is>
      </c>
      <c r="D27" s="8" t="inlineStr">
        <is>
          <t>Là tỷ lệ % (không phải số tiền). Ưu tiên Kênh trước, Chuỗi sau, cuối cùng 0. Dùng để tính CP CKKM.</t>
        </is>
      </c>
      <c r="E27" s="8" t="inlineStr"/>
    </row>
    <row r="28">
      <c r="A28" s="7" t="inlineStr">
        <is>
          <t>CP CKKM — Chi phí chiết khấu khuyến mại</t>
        </is>
      </c>
      <c r="B28" s="8" t="inlineStr">
        <is>
          <t>Chi phí chiết khấu khuyến mại của dòng = Doanh thu thực tế của dòng × Tỷ lệ %CKKM của dòng (xem cột %CKKM). Nếu tỷ lệ %CKKM = 0 (không khớp chương trình khuyến mãi nào) → chi phí = 0.</t>
        </is>
      </c>
      <c r="C28" s="8" t="inlineStr">
        <is>
          <t>Cùng phạm vi với Doanh thu thực tế của dòng.</t>
        </is>
      </c>
      <c r="D28" s="8" t="inlineStr">
        <is>
          <t>CKKM = chi phí chiết khấu/khuyến mãi thương mại. Là số tiền (= doanh thu × tỷ lệ).</t>
        </is>
      </c>
      <c r="E28" s="8" t="inlineStr"/>
    </row>
    <row r="29">
      <c r="A29" s="7" t="inlineStr">
        <is>
          <t>%GP Ròng — Tỷ lệ lãi gộp ròng</t>
        </is>
      </c>
      <c r="B29" s="8" t="inlineStr">
        <is>
          <t>Tỷ lệ lãi gộp ròng của dòng = %LN Gộp − %CKKM (tỷ lệ chiết khấu khuyến mại). Tức biên lãi gộp sau khi trừ tỷ lệ khuyến mại. Nếu thành phần nào trống thì coi = 0 trước khi trừ. Ra %.</t>
        </is>
      </c>
      <c r="C29" s="8" t="inlineStr">
        <is>
          <t>Cùng phạm vi với Doanh thu thực tế của dòng.</t>
        </is>
      </c>
      <c r="D29" s="8" t="inlineStr">
        <is>
          <t>GP ròng = Gross Profit ròng (biên lãi gộp đã trừ tỷ lệ CKKM). Là tỷ lệ %.</t>
        </is>
      </c>
      <c r="E29" s="8" t="inlineStr"/>
    </row>
    <row r="30">
      <c r="A30" s="7" t="inlineStr">
        <is>
          <t>TAX RATE — Thuế suất</t>
        </is>
      </c>
      <c r="B30" s="8" t="inlineStr">
        <is>
          <t>Thuế suất thuế GTGT của dòng (ví dụ 8%, 10%) — lấy theo thuế suất ghi trên dòng hóa đơn (theo mã thuế của dòng). Là tỷ lệ %.</t>
        </is>
      </c>
      <c r="C30" s="8" t="inlineStr">
        <is>
          <t>—</t>
        </is>
      </c>
      <c r="D30" s="8" t="inlineStr">
        <is>
          <t>Thuế suất theo từng dòng (không phải một suất cố định toàn báo cáo). VAT = thuế giá trị gia tăng.</t>
        </is>
      </c>
      <c r="E30" s="8" t="inlineStr"/>
    </row>
    <row r="31">
      <c r="A31" s="7" t="inlineStr">
        <is>
          <t>GIÁ VAT — Tiền thuế GTGT</t>
        </is>
      </c>
      <c r="B31" s="8" t="inlineStr">
        <is>
          <t>Tiền thuế GTGT của dòng = số thuế GTGT ghi trên dòng hóa đơn + (phần chiết khấu của dòng × thuế suất của dòng). Tức gồm thuế của doanh thu và thuế tính trên phần chiết khấu. Trên báo cáo, cột hiển thị lấy dấu ngược lại (đổi dấu) so với giá trị gốc.</t>
        </is>
      </c>
      <c r="C31" s="8" t="inlineStr">
        <is>
          <t>Cùng phạm vi với Doanh thu thực tế của dòng.</t>
        </is>
      </c>
      <c r="D31" s="8" t="inlineStr">
        <is>
          <t>Là số tiền thuế GTGT (đầu ra) của dòng. Chính phần này cộng vào Doanh thu thực tế để ra Doanh số thực tế (gồm VAT).</t>
        </is>
      </c>
      <c r="E31" s="8" t="inlineStr"/>
    </row>
  </sheetData>
  <mergeCells count="1">
    <mergeCell ref="A3:E3"/>
  </mergeCells>
  <dataValidations count="1">
    <dataValidation sqref="E4:E32" showDropDown="0" showInputMessage="0" showErrorMessage="0" allowBlank="1" type="list">
      <formula1>"Y,N"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8"/>
  <sheetViews>
    <sheetView workbookViewId="0">
      <pane ySplit="2" topLeftCell="A3" activePane="bottomLeft" state="frozen"/>
      <selection pane="bottomLeft" activeCell="A1" sqref="A1"/>
    </sheetView>
  </sheetViews>
  <sheetFormatPr baseColWidth="8" defaultRowHeight="15"/>
  <cols>
    <col width="26" customWidth="1" min="1" max="1"/>
    <col width="70" customWidth="1" min="2" max="2"/>
    <col width="40" customWidth="1" min="3" max="3"/>
    <col width="34" customWidth="1" min="4" max="4"/>
    <col width="12" customWidth="1" min="5" max="5"/>
  </cols>
  <sheetData>
    <row r="1">
      <c r="A1" s="4" t="inlineStr">
        <is>
          <t xml:space="preserve">(KGR) BRD.BC03-04-05_SFC/MIS · MIS · </t>
        </is>
      </c>
    </row>
    <row r="3">
      <c r="A3" s="5" t="inlineStr">
        <is>
          <t>MIS (bảng chi tiết giao dịch)</t>
        </is>
      </c>
    </row>
    <row r="4" ht="28" customHeight="1">
      <c r="A4" s="6" t="inlineStr">
        <is>
          <t>Cột / Chỉ tiêu</t>
        </is>
      </c>
      <c r="B4" s="6" t="inlineStr">
        <is>
          <t>Cách tính (logic nghiệp vụ)</t>
        </is>
      </c>
      <c r="C4" s="6" t="inlineStr">
        <is>
          <t>Loại trừ / Bộ lọc</t>
        </is>
      </c>
      <c r="D4" s="6" t="inlineStr">
        <is>
          <t>Ghi chú</t>
        </is>
      </c>
      <c r="E4" s="6" t="inlineStr">
        <is>
          <t>KGR xác nhận</t>
        </is>
      </c>
    </row>
    <row r="5">
      <c r="A5" s="7" t="inlineStr">
        <is>
          <t>Ngày CT (ngày trong tháng)</t>
        </is>
      </c>
      <c r="B5" s="8" t="inlineStr">
        <is>
          <t>Số thứ tự NGÀY trong tháng của ngày chứng từ giao dịch (lấy phần 'ngày' từ ngày chứng từ; ví dụ ngày chứng từ 16/05 → 16). Cột chiều (dimension), không phải số liệu; dùng để xem giao dịch theo ngày.</t>
        </is>
      </c>
      <c r="C5" s="8" t="inlineStr">
        <is>
          <t>—</t>
        </is>
      </c>
      <c r="D5" s="8" t="inlineStr">
        <is>
          <t>Cột chiều (dimension). CT = chứng từ. Chỉ là số ngày (1–31), không kèm tháng/năm.</t>
        </is>
      </c>
      <c r="E5" s="8" t="inlineStr"/>
    </row>
    <row r="6">
      <c r="A6" s="7" t="inlineStr">
        <is>
          <t>Số CT (Số CT FAST)</t>
        </is>
      </c>
      <c r="B6" s="8" t="inlineStr">
        <is>
          <t>Số chứng từ của giao dịch theo hệ thống kế toán FAST — nhãn nhận diện chứng từ. Cột chiều (dimension), không phải số liệu.</t>
        </is>
      </c>
      <c r="C6" s="8" t="inlineStr">
        <is>
          <t>—</t>
        </is>
      </c>
      <c r="D6" s="8" t="inlineStr">
        <is>
          <t>Cột chiều (dimension). CT = chứng từ; FAST = phần mềm kế toán nguồn.</t>
        </is>
      </c>
      <c r="E6" s="8" t="inlineStr"/>
    </row>
    <row r="7">
      <c r="A7" s="7" t="inlineStr">
        <is>
          <t>Mã NVBH</t>
        </is>
      </c>
      <c r="B7" s="8" t="inlineStr">
        <is>
          <t>Mã nhân viên bán hàng phụ trách giao dịch — nhãn nhận diện nhân viên/ASM. Cột chiều (dimension), không phải số liệu.</t>
        </is>
      </c>
      <c r="C7" s="8" t="inlineStr">
        <is>
          <t>—</t>
        </is>
      </c>
      <c r="D7" s="8" t="inlineStr">
        <is>
          <t>Cột chiều (dimension). NVBH = nhân viên bán hàng.</t>
        </is>
      </c>
      <c r="E7" s="8" t="inlineStr"/>
    </row>
    <row r="8">
      <c r="A8" s="7" t="inlineStr">
        <is>
          <t>Diễn giải</t>
        </is>
      </c>
      <c r="B8" s="8" t="inlineStr">
        <is>
          <t>Nội dung diễn giải/ghi chú của chứng từ giao dịch — nhãn mô tả. Cột chiều (dimension), không phải số liệu.</t>
        </is>
      </c>
      <c r="C8" s="8" t="inlineStr">
        <is>
          <t>—</t>
        </is>
      </c>
      <c r="D8" s="8" t="inlineStr">
        <is>
          <t>Cột chiều (dimension).</t>
        </is>
      </c>
      <c r="E8" s="8" t="inlineStr"/>
    </row>
    <row r="9">
      <c r="A9" s="7" t="inlineStr">
        <is>
          <t>TK đối ứng (TKĐƯ)</t>
        </is>
      </c>
      <c r="B9" s="8" t="inlineStr">
        <is>
          <t>Số tài khoản kế toán đối ứng của dòng giao dịch — nhãn tài khoản. Cột chiều (dimension), không phải số liệu.</t>
        </is>
      </c>
      <c r="C9" s="8" t="inlineStr">
        <is>
          <t>—</t>
        </is>
      </c>
      <c r="D9" s="8" t="inlineStr">
        <is>
          <t>Cột chiều (dimension). TKĐƯ = tài khoản đối ứng.</t>
        </is>
      </c>
      <c r="E9" s="8" t="inlineStr"/>
    </row>
    <row r="10">
      <c r="A10" s="7" t="inlineStr">
        <is>
          <t>Mã Đơn Vị</t>
        </is>
      </c>
      <c r="B10" s="8" t="inlineStr">
        <is>
          <t>Mã đơn vị (pháp nhân/công ty hạch toán) của dòng giao dịch — nhãn nhận diện đơn vị. Cột chiều (dimension), không phải số liệu.</t>
        </is>
      </c>
      <c r="C10" s="8" t="inlineStr">
        <is>
          <t>—</t>
        </is>
      </c>
      <c r="D10" s="8" t="inlineStr">
        <is>
          <t>Cột chiều (dimension).</t>
        </is>
      </c>
      <c r="E10" s="8" t="inlineStr"/>
    </row>
    <row r="11">
      <c r="A11" s="7" t="inlineStr">
        <is>
          <t>Mã KH</t>
        </is>
      </c>
      <c r="B11" s="8" t="inlineStr">
        <is>
          <t>Mã khách hàng của dòng giao dịch — nhãn nhận diện khách hàng. Cột chiều (dimension), không phải số liệu.</t>
        </is>
      </c>
      <c r="C11" s="8" t="inlineStr">
        <is>
          <t>—</t>
        </is>
      </c>
      <c r="D11" s="8" t="inlineStr">
        <is>
          <t>Cột chiều (dimension). KH = khách hàng.</t>
        </is>
      </c>
      <c r="E11" s="8" t="inlineStr"/>
    </row>
    <row r="12">
      <c r="A12" s="7" t="inlineStr">
        <is>
          <t>Tên Khách Hàng</t>
        </is>
      </c>
      <c r="B12" s="8" t="inlineStr">
        <is>
          <t>Tên khách hàng (công ty/đối tác mua) của dòng — nhãn khách hàng. Cột chiều (dimension), không phải số liệu.</t>
        </is>
      </c>
      <c r="C12" s="8" t="inlineStr">
        <is>
          <t>—</t>
        </is>
      </c>
      <c r="D12" s="8" t="inlineStr">
        <is>
          <t>Cột chiều (dimension).</t>
        </is>
      </c>
      <c r="E12" s="8" t="inlineStr"/>
    </row>
    <row r="13">
      <c r="A13" s="7" t="inlineStr">
        <is>
          <t>Tên Kênh</t>
        </is>
      </c>
      <c r="B13" s="8" t="inlineStr">
        <is>
          <t>Tên kênh bán hàng của dòng — nhãn kênh. Cột chiều (dimension), không phải số liệu.</t>
        </is>
      </c>
      <c r="C13" s="8" t="inlineStr">
        <is>
          <t>—</t>
        </is>
      </c>
      <c r="D13" s="8" t="inlineStr">
        <is>
          <t>Cột chiều (dimension).</t>
        </is>
      </c>
      <c r="E13" s="8" t="inlineStr"/>
    </row>
    <row r="14">
      <c r="A14" s="7" t="inlineStr">
        <is>
          <t>Tên Chuỗi</t>
        </is>
      </c>
      <c r="B14" s="8" t="inlineStr">
        <is>
          <t>Tên chuỗi bán hàng của dòng — nhãn chuỗi. Cột chiều (dimension), không phải số liệu.</t>
        </is>
      </c>
      <c r="C14" s="8" t="inlineStr">
        <is>
          <t>—</t>
        </is>
      </c>
      <c r="D14" s="8" t="inlineStr">
        <is>
          <t>Cột chiều (dimension).</t>
        </is>
      </c>
      <c r="E14" s="8" t="inlineStr"/>
    </row>
    <row r="15">
      <c r="A15" s="7" t="inlineStr">
        <is>
          <t>Vụ việc</t>
        </is>
      </c>
      <c r="B15" s="8" t="inlineStr">
        <is>
          <t>Nhãn 'vụ việc' (phân loại nghiệp vụ/đối tượng tập hợp chi phí) gắn với dòng giao dịch. Cột chiều (dimension), không phải số liệu.</t>
        </is>
      </c>
      <c r="C15" s="8" t="inlineStr">
        <is>
          <t>—</t>
        </is>
      </c>
      <c r="D15" s="8" t="inlineStr">
        <is>
          <t>Cột chiều (dimension). Ở các báo cáo KGR, vụ việc dùng để nhận biết các loại đặc thù (ví dụ hàng thanh lý).</t>
        </is>
      </c>
      <c r="E15" s="8" t="inlineStr"/>
    </row>
    <row r="16">
      <c r="A16" s="7" t="inlineStr">
        <is>
          <t>Tên Ngành</t>
        </is>
      </c>
      <c r="B16" s="8" t="inlineStr">
        <is>
          <t>Tên ngành hàng của dòng (Water care / Home care / Cold &amp; Hygiene care / Sanitary care / Khác), xác định theo phân loại ngành ghi trên dòng tại thời điểm phát sinh (capture-basis). Cột chiều (dimension), không phải số liệu.</t>
        </is>
      </c>
      <c r="C16" s="8" t="inlineStr">
        <is>
          <t>—</t>
        </is>
      </c>
      <c r="D16" s="8" t="inlineStr">
        <is>
          <t>Cột chiều (dimension). Ngành capture-basis (point-in-time).</t>
        </is>
      </c>
      <c r="E16" s="8" t="inlineStr"/>
    </row>
    <row r="17">
      <c r="A17" s="7" t="inlineStr">
        <is>
          <t>Nhóm xanh đỏ (XDF)</t>
        </is>
      </c>
      <c r="B17" s="8" t="inlineStr">
        <is>
          <t>Nhãn phân loại Xanh/Đỏ của sản phẩm: Xanh = nhóm sản phẩm ưu tiên, Đỏ = nhóm còn lại. Mỗi sản phẩm luôn thuộc đúng 1 trong 2 nhóm. Cột chiều (dimension), không phải số liệu.</t>
        </is>
      </c>
      <c r="C17" s="8" t="inlineStr">
        <is>
          <t>—</t>
        </is>
      </c>
      <c r="D17" s="8" t="inlineStr">
        <is>
          <t>Cột chiều (dimension). Xanh = nhóm ưu tiên, Đỏ = nhóm còn lại.</t>
        </is>
      </c>
      <c r="E17" s="8" t="inlineStr"/>
    </row>
    <row r="18">
      <c r="A18" s="7" t="inlineStr">
        <is>
          <t>Nhóm SP</t>
        </is>
      </c>
      <c r="B18" s="8" t="inlineStr">
        <is>
          <t>Tên nhóm sản phẩm của dòng — nhãn phân nhóm sản phẩm. Cột chiều (dimension), không phải số liệu.</t>
        </is>
      </c>
      <c r="C18" s="8" t="inlineStr">
        <is>
          <t>—</t>
        </is>
      </c>
      <c r="D18" s="8" t="inlineStr">
        <is>
          <t>Cột chiều (dimension). SP = sản phẩm.</t>
        </is>
      </c>
      <c r="E18" s="8" t="inlineStr"/>
    </row>
    <row r="19">
      <c r="A19" s="7" t="inlineStr">
        <is>
          <t>Mã hàng</t>
        </is>
      </c>
      <c r="B19" s="8" t="inlineStr">
        <is>
          <t>Mã vạch/Code sản phẩm của dòng — nhãn nhận diện sản phẩm. Cột chiều (dimension), không phải số liệu.</t>
        </is>
      </c>
      <c r="C19" s="8" t="inlineStr">
        <is>
          <t>—</t>
        </is>
      </c>
      <c r="D19" s="8" t="inlineStr">
        <is>
          <t>Cột chiều (dimension).</t>
        </is>
      </c>
      <c r="E19" s="8" t="inlineStr"/>
    </row>
    <row r="20">
      <c r="A20" s="7" t="inlineStr">
        <is>
          <t>Model name</t>
        </is>
      </c>
      <c r="B20" s="8" t="inlineStr">
        <is>
          <t>Tên model (dòng máy/cấp model) của sản phẩm — nhãn nhóm theo model. Cột chiều (dimension), không phải số liệu.</t>
        </is>
      </c>
      <c r="C20" s="8" t="inlineStr">
        <is>
          <t>—</t>
        </is>
      </c>
      <c r="D20" s="8" t="inlineStr">
        <is>
          <t>Cột chiều (dimension).</t>
        </is>
      </c>
      <c r="E20" s="8" t="inlineStr"/>
    </row>
    <row r="21">
      <c r="A21" s="7" t="inlineStr">
        <is>
          <t>Item Name (Tên sản phẩm)</t>
        </is>
      </c>
      <c r="B21" s="8" t="inlineStr">
        <is>
          <t>Tên đầy đủ của sản phẩm trên dòng — nhãn mô tả sản phẩm. Cột chiều (dimension), không phải số liệu.</t>
        </is>
      </c>
      <c r="C21" s="8" t="inlineStr">
        <is>
          <t>—</t>
        </is>
      </c>
      <c r="D21" s="8" t="inlineStr">
        <is>
          <t>Cột chiều (dimension).</t>
        </is>
      </c>
      <c r="E21" s="8" t="inlineStr"/>
    </row>
    <row r="22">
      <c r="A22" s="7" t="inlineStr">
        <is>
          <t>Đvt (Đơn vị tính)</t>
        </is>
      </c>
      <c r="B22" s="8" t="inlineStr">
        <is>
          <t>Đơn vị tính của sản phẩm trên dòng (ví dụ cái, bộ, thùng). Lấy đơn vị tính ghi trên sản phẩm, bỏ tiền tố 'per ' nếu có (ví dụ 'per cái' → 'cái'). Cột chiều (dimension), không phải số liệu.</t>
        </is>
      </c>
      <c r="C22" s="8" t="inlineStr">
        <is>
          <t>—</t>
        </is>
      </c>
      <c r="D22" s="8" t="inlineStr">
        <is>
          <t>Cột chiều (dimension). Đvt = đơn vị tính.</t>
        </is>
      </c>
      <c r="E22" s="8" t="inlineStr"/>
    </row>
    <row r="23">
      <c r="A23" s="7" t="inlineStr">
        <is>
          <t>Tên kho</t>
        </is>
      </c>
      <c r="B23" s="8" t="inlineStr">
        <is>
          <t>Tên kho hàng (địa điểm/kho xuất) của dòng giao dịch — nhãn kho. Cột chiều (dimension), không phải số liệu.</t>
        </is>
      </c>
      <c r="C23" s="8" t="inlineStr">
        <is>
          <t>—</t>
        </is>
      </c>
      <c r="D23" s="8" t="inlineStr">
        <is>
          <t>Cột chiều (dimension).</t>
        </is>
      </c>
      <c r="E23" s="8" t="inlineStr"/>
    </row>
    <row r="24">
      <c r="A24" s="7" t="inlineStr">
        <is>
          <t>Mã CKKM</t>
        </is>
      </c>
      <c r="B24" s="8" t="inlineStr">
        <is>
          <t>Mã chương trình chiết khấu khuyến mại (CKKM) gắn với dòng giao dịch — nhãn nhận diện chương trình khuyến mãi. Cột chiều (dimension), không phải số liệu.</t>
        </is>
      </c>
      <c r="C24" s="8" t="inlineStr">
        <is>
          <t>—</t>
        </is>
      </c>
      <c r="D24" s="8" t="inlineStr">
        <is>
          <t>Cột chiều (dimension). CKKM = chiết khấu khuyến mại.</t>
        </is>
      </c>
      <c r="E24" s="8" t="inlineStr"/>
    </row>
    <row r="25">
      <c r="A25" s="7" t="inlineStr">
        <is>
          <t>Tên CKKM</t>
        </is>
      </c>
      <c r="B25" s="8" t="inlineStr">
        <is>
          <t>Tên chương trình chiết khấu khuyến mại (CKKM) gắn với dòng — nhãn mô tả chương trình khuyến mãi. Cột chiều (dimension), không phải số liệu.</t>
        </is>
      </c>
      <c r="C25" s="8" t="inlineStr">
        <is>
          <t>—</t>
        </is>
      </c>
      <c r="D25" s="8" t="inlineStr">
        <is>
          <t>Cột chiều (dimension). CKKM = chiết khấu khuyến mại.</t>
        </is>
      </c>
      <c r="E25" s="8" t="inlineStr"/>
    </row>
    <row r="26">
      <c r="A26" s="7" t="inlineStr">
        <is>
          <t>Quy hoạch SP</t>
        </is>
      </c>
      <c r="B26" s="8" t="inlineStr">
        <is>
          <t>Nhãn quy hoạch sản phẩm (ví dụ 'SP mới' để nhận biết sản phẩm mới). Cột chiều (dimension), không phải số liệu.</t>
        </is>
      </c>
      <c r="C26" s="8" t="inlineStr">
        <is>
          <t>—</t>
        </is>
      </c>
      <c r="D26" s="8" t="inlineStr">
        <is>
          <t>Cột chiều (dimension). Giá trị 'SP mới' là cờ nhận biết sản phẩm mới.</t>
        </is>
      </c>
      <c r="E26" s="8" t="inlineStr"/>
    </row>
    <row r="27">
      <c r="A27" s="7" t="inlineStr">
        <is>
          <t>SL xuất bán</t>
        </is>
      </c>
      <c r="B27" s="8" t="inlineStr">
        <is>
          <t>Số lượng xuất bán của dòng. Nếu giao dịch là HÓA ĐƠN BÁN (Invoice) thì = − Số lượng gốc của dòng (đổi dấu để ra số dương cho hàng bán ra); nếu giao dịch là CHỨNG TỪ ĐIỀU CHỈNH GIẢM (Credit Memo / trả hàng) thì = 0 (số lượng trả lại thể hiện ở cột 'SL trả lại').</t>
        </is>
      </c>
      <c r="C27" s="8" t="inlineStr">
        <is>
          <t>Chỉ giao dịch đã hạch toán; chỉ tài khoản doanh thu; loại dòng chiết khấu (Discount); loại giao dịch công ty con/chi nhánh nội bộ.</t>
        </is>
      </c>
      <c r="D27" s="8" t="inlineStr">
        <is>
          <t>SL = số lượng. Chỉ tính phần bán ra (Invoice).</t>
        </is>
      </c>
      <c r="E27" s="8" t="inlineStr"/>
    </row>
    <row r="28">
      <c r="A28" s="7" t="inlineStr">
        <is>
          <t>Giá bán TB</t>
        </is>
      </c>
      <c r="B28" s="8" t="inlineStr">
        <is>
          <t>Giá bán bình quân/1 đơn vị của dòng (chỉ với hóa đơn bán). Nếu là HÓA ĐƠN BÁN (Invoice): = −(Doanh thu thực tế của dòng + phần chiết khấu của dòng) ÷ Số lượng gốc của dòng. Tức lấy doanh thu trước khi trừ chiết khấu (cộng lại khoản chiết khấu vào doanh thu thuần) rồi chia cho số lượng, đổi dấu để ra số dương. Nếu là chứng từ điều chỉnh giảm (Credit Memo) → = 0. Nếu Số lượng = 0 → để trống.</t>
        </is>
      </c>
      <c r="C28" s="8" t="inlineStr">
        <is>
          <t>Cùng phạm vi với SL xuất bán (đã hạch toán; tài khoản doanh thu; loại dòng chiết khấu; loại nội bộ).</t>
        </is>
      </c>
      <c r="D28" s="8" t="inlineStr">
        <is>
          <t>TB = trung bình. Là giá bán trước chiết khấu / 1 đơn vị (gồm cả khoản chiết khấu cộng lại). Phần chiết khấu = khoản giảm trừ gắn trên dòng (nếu không có → 0).</t>
        </is>
      </c>
      <c r="E28" s="8" t="inlineStr"/>
    </row>
    <row r="29">
      <c r="A29" s="7" t="inlineStr">
        <is>
          <t>Doanh thu xuất bán</t>
        </is>
      </c>
      <c r="B29" s="8" t="inlineStr">
        <is>
          <t>Doanh thu (chưa VAT) của hàng xuất bán trên dòng. Nếu là HÓA ĐƠN BÁN (Invoice): = Doanh thu thực tế của dòng + phần chiết khấu của dòng (tức doanh thu trước khi trừ chiết khấu). Nếu là chứng từ điều chỉnh giảm (Credit Memo) → = 0.</t>
        </is>
      </c>
      <c r="C29" s="8" t="inlineStr">
        <is>
          <t>Cùng phạm vi với SL xuất bán (đã hạch toán; tài khoản doanh thu; loại dòng chiết khấu; loại nội bộ).</t>
        </is>
      </c>
      <c r="D29" s="8" t="inlineStr">
        <is>
          <t>Là doanh thu GỘP trước chiết khấu của phần bán ra (chưa VAT). Trừ đi 'Chiết khấu' sẽ ra phần thực bán.</t>
        </is>
      </c>
      <c r="E29" s="8" t="inlineStr"/>
    </row>
    <row r="30">
      <c r="A30" s="7" t="inlineStr">
        <is>
          <t>Thuế (thuế GTGT bán)</t>
        </is>
      </c>
      <c r="B30" s="8" t="inlineStr">
        <is>
          <t>Tiền thuế GTGT của hàng xuất bán. Nếu là HÓA ĐƠN BÁN (Invoice): = − tiền thuế GTGT của dòng (đổi dấu để ra số dương). Nếu là chứng từ điều chỉnh giảm (Credit Memo) → = 0. Tiền thuế GTGT của dòng gồm thuế trên doanh thu + thuế trên phần chiết khấu (theo thuế suất của dòng).</t>
        </is>
      </c>
      <c r="C30" s="8" t="inlineStr">
        <is>
          <t>Cùng phạm vi với SL xuất bán.</t>
        </is>
      </c>
      <c r="D30" s="8" t="inlineStr">
        <is>
          <t>Thuế GTGT đầu ra của phần bán ra. VAT = thuế giá trị gia tăng.</t>
        </is>
      </c>
      <c r="E30" s="8" t="inlineStr"/>
    </row>
    <row r="31">
      <c r="A31" s="7" t="inlineStr">
        <is>
          <t>SL trả lại</t>
        </is>
      </c>
      <c r="B31" s="8" t="inlineStr">
        <is>
          <t>Số lượng trả lại của dòng. Nếu giao dịch là CHỨNG TỪ ĐIỀU CHỈNH GIẢM (Credit Memo / trả hàng) thì = Số lượng gốc của dòng; nếu là hóa đơn bán (Invoice) thì = 0.</t>
        </is>
      </c>
      <c r="C31" s="8" t="inlineStr">
        <is>
          <t>Cùng phạm vi với SL xuất bán; chỉ phần Credit Memo.</t>
        </is>
      </c>
      <c r="D31" s="8" t="inlineStr">
        <is>
          <t>SL = số lượng. Chỉ tính phần hàng trả lại (Credit Memo).</t>
        </is>
      </c>
      <c r="E31" s="8" t="inlineStr"/>
    </row>
    <row r="32">
      <c r="A32" s="7" t="inlineStr">
        <is>
          <t>Giá trả lại TB</t>
        </is>
      </c>
      <c r="B32" s="8" t="inlineStr">
        <is>
          <t>Giá trả lại bình quân/1 đơn vị (chỉ với chứng từ điều chỉnh giảm). Nếu là CHỨNG TỪ ĐIỀU CHỈNH GIẢM (Credit Memo): = −(Doanh thu thực tế của dòng + phần chiết khấu của dòng) ÷ Số lượng gốc của dòng (đổi dấu). Nếu là hóa đơn bán → = 0. Nếu Số lượng = 0 → để trống.</t>
        </is>
      </c>
      <c r="C32" s="8" t="inlineStr">
        <is>
          <t>Cùng phạm vi với SL xuất bán; chỉ phần Credit Memo.</t>
        </is>
      </c>
      <c r="D32" s="8" t="inlineStr">
        <is>
          <t>TB = trung bình. Giá trả lại trước chiết khấu / 1 đơn vị.</t>
        </is>
      </c>
      <c r="E32" s="8" t="inlineStr"/>
    </row>
    <row r="33">
      <c r="A33" s="7" t="inlineStr">
        <is>
          <t>Doanh thu trả lại</t>
        </is>
      </c>
      <c r="B33" s="8" t="inlineStr">
        <is>
          <t>Doanh thu (chưa VAT) của hàng trả lại. Nếu là CHỨNG TỪ ĐIỀU CHỈNH GIẢM (Credit Memo): = −(Doanh thu thực tế của dòng + phần chiết khấu của dòng) (tức trị âm của doanh thu gộp trước chiết khấu, thể hiện khoản giảm doanh thu do trả hàng). Nếu là hóa đơn bán → = 0.</t>
        </is>
      </c>
      <c r="C33" s="8" t="inlineStr">
        <is>
          <t>Cùng phạm vi với SL xuất bán; chỉ phần Credit Memo.</t>
        </is>
      </c>
      <c r="D33" s="8" t="inlineStr">
        <is>
          <t>Là doanh thu trả lại (giảm doanh thu), mang dấu âm. Chưa VAT.</t>
        </is>
      </c>
      <c r="E33" s="8" t="inlineStr"/>
    </row>
    <row r="34">
      <c r="A34" s="7" t="inlineStr">
        <is>
          <t>Thuế trả lại</t>
        </is>
      </c>
      <c r="B34" s="8" t="inlineStr">
        <is>
          <t>Tiền thuế GTGT của hàng trả lại. Nếu là CHỨNG TỪ ĐIỀU CHỈNH GIẢM (Credit Memo): = tiền thuế GTGT của dòng. Nếu là hóa đơn bán → = 0.</t>
        </is>
      </c>
      <c r="C34" s="8" t="inlineStr">
        <is>
          <t>Cùng phạm vi với SL xuất bán; chỉ phần Credit Memo.</t>
        </is>
      </c>
      <c r="D34" s="8" t="inlineStr">
        <is>
          <t>Thuế GTGT của phần trả lại. VAT = thuế giá trị gia tăng.</t>
        </is>
      </c>
      <c r="E34" s="8" t="inlineStr"/>
    </row>
    <row r="35">
      <c r="A35" s="7" t="inlineStr">
        <is>
          <t>Chiết khấu trả lại</t>
        </is>
      </c>
      <c r="B35" s="8" t="inlineStr">
        <is>
          <t>Khoản chiết khấu của hàng trả lại. Nếu là CHỨNG TỪ ĐIỀU CHỈNH GIẢM (Credit Memo): = − phần chiết khấu của dòng (nếu không có chiết khấu → 0). Nếu là hóa đơn bán → = 0.</t>
        </is>
      </c>
      <c r="C35" s="8" t="inlineStr">
        <is>
          <t>Cùng phạm vi với SL xuất bán; chỉ phần Credit Memo.</t>
        </is>
      </c>
      <c r="D35" s="8" t="inlineStr">
        <is>
          <t>Khoản chiết khấu gắn với dòng trả lại; mang dấu âm.</t>
        </is>
      </c>
      <c r="E35" s="8" t="inlineStr"/>
    </row>
    <row r="36">
      <c r="A36" s="7" t="inlineStr">
        <is>
          <t>Chiết khấu</t>
        </is>
      </c>
      <c r="B36" s="8" t="inlineStr">
        <is>
          <t>Khoản chiết khấu (giảm trừ) của hàng xuất bán. Nếu là HÓA ĐƠN BÁN (Invoice): = phần chiết khấu của dòng (khoản giảm trừ gắn với dòng; nếu không có → 0). Nếu là chứng từ điều chỉnh giảm (Credit Memo) → = 0.</t>
        </is>
      </c>
      <c r="C36" s="8" t="inlineStr">
        <is>
          <t>Cùng phạm vi với SL xuất bán; chỉ phần Invoice.</t>
        </is>
      </c>
      <c r="D36" s="8" t="inlineStr">
        <is>
          <t>Khoản chiết khấu trên dòng bán ra (chưa VAT). Trừ vào Doanh thu xuất bán để ra phần thực bán.</t>
        </is>
      </c>
      <c r="E36" s="8" t="inlineStr"/>
    </row>
    <row r="37">
      <c r="A37" s="7" t="inlineStr">
        <is>
          <t>Thực bán</t>
        </is>
      </c>
      <c r="B37" s="8" t="inlineStr">
        <is>
          <t>Doanh thu thực bán thuần của dòng = (Doanh thu xuất bán − Chiết khấu) − (Doanh thu trả lại − Chiết khấu trả lại). Tức doanh thu bán ra sau chiết khấu, trừ đi doanh thu trả lại sau chiết khấu trả lại. Mỗi thành phần thiếu thì coi = 0.</t>
        </is>
      </c>
      <c r="C37" s="8" t="inlineStr">
        <is>
          <t>Cùng phạm vi với SL xuất bán.</t>
        </is>
      </c>
      <c r="D37" s="8" t="inlineStr">
        <is>
          <t>Doanh thu thuần thực bán (sau chiết khấu, sau trả hàng); chưa VAT.</t>
        </is>
      </c>
      <c r="E37" s="8" t="inlineStr"/>
    </row>
    <row r="38">
      <c r="A38" s="7" t="inlineStr">
        <is>
          <t>Tiền vốn (giá vốn bán ra)</t>
        </is>
      </c>
      <c r="B38" s="8" t="inlineStr">
        <is>
          <t>Tiền vốn (giá vốn) của hàng xuất bán. Nếu là HÓA ĐƠN BÁN (Invoice): = Giá vốn của dòng. Nếu là chứng từ điều chỉnh giảm (Credit Memo) → = 0. Giá vốn của dòng tính theo 3 lớp ưu tiên: (1) 'Giá vốn mục tiêu' tra theo mã sản phẩm (MSP) + tháng; (2) 'Giá vốn tồn kho' tra theo mã item + đơn vị (pháp nhân) + kỳ; (3) nếu không có → 50% doanh thu thực tế của dòng — nhân với |số lượng|.</t>
        </is>
      </c>
      <c r="C38" s="8" t="inlineStr">
        <is>
          <t>Cùng phạm vi với SL xuất bán; chỉ phần Invoice.</t>
        </is>
      </c>
      <c r="D38" s="8" t="inlineStr">
        <is>
          <t>Giá vốn 3 lớp (mục tiêu → tồn kho → 50% doanh thu). Là giá vốn của phần bán ra.</t>
        </is>
      </c>
      <c r="E38" s="8" t="inlineStr"/>
    </row>
    <row r="39">
      <c r="A39" s="7" t="inlineStr">
        <is>
          <t>Unit Cost (Đơn giá vốn)</t>
        </is>
      </c>
      <c r="B39" s="8" t="inlineStr">
        <is>
          <t>Đơn giá vốn/1 đơn vị sản phẩm của dòng, lấy theo 3 lớp ưu tiên: (1) 'Giá vốn mục tiêu' tra theo mã sản phẩm (MSP) + tháng (nếu có, khác 0); (2) nếu không có → 'Giá vốn tồn kho' tra theo mã item + đơn vị (pháp nhân) + kỳ (nếu có, khác 0); (3) nếu vẫn không có → = (Doanh thu thực tế của dòng ÷ 2) ÷ |Số lượng|. Khi nhiều dòng gộp lại, hiển thị mức LỚN NHẤT (MAX) trong nhóm.</t>
        </is>
      </c>
      <c r="C39" s="8" t="inlineStr">
        <is>
          <t>Bảng giá vốn mục tiêu/tồn kho chỉ lấy bản ghi còn hiệu lực.</t>
        </is>
      </c>
      <c r="D39" s="8" t="inlineStr">
        <is>
          <t>Đơn giá vốn / 1 đơn vị (chưa nhân số lượng). 'Giá vốn mục tiêu' = đơn giá vốn kế hoạch; 'Giá vốn tồn kho' = đơn giá vốn bình quân tồn kho theo kỳ.</t>
        </is>
      </c>
      <c r="E39" s="8" t="inlineStr"/>
    </row>
    <row r="40">
      <c r="A40" s="7" t="inlineStr">
        <is>
          <t>Tiền vốn tl (giá vốn trả lại)</t>
        </is>
      </c>
      <c r="B40" s="8" t="inlineStr">
        <is>
          <t>Tiền vốn (giá vốn) của hàng trả lại. Nếu là CHỨNG TỪ ĐIỀU CHỈNH GIẢM (Credit Memo): = Giá vốn của dòng (tính theo 3 lớp ưu tiên như Tiền vốn). Nếu là hóa đơn bán → = 0.</t>
        </is>
      </c>
      <c r="C40" s="8" t="inlineStr">
        <is>
          <t>Cùng phạm vi với SL xuất bán; chỉ phần Credit Memo.</t>
        </is>
      </c>
      <c r="D40" s="8" t="inlineStr">
        <is>
          <t>tl = trả lại. Giá vốn của phần hàng trả lại.</t>
        </is>
      </c>
      <c r="E40" s="8" t="inlineStr"/>
    </row>
    <row r="41">
      <c r="A41" s="7" t="inlineStr">
        <is>
          <t>Tiền vốn thực tế</t>
        </is>
      </c>
      <c r="B41" s="8" t="inlineStr">
        <is>
          <t>Tiền vốn thực tế của dòng = Tiền vốn (giá vốn bán ra) − Tiền vốn tl (giá vốn trả lại). Mỗi thành phần thiếu thì coi = 0. Tức giá vốn của hàng bán ra sau khi trừ giá vốn của hàng đã trả lại.</t>
        </is>
      </c>
      <c r="C41" s="8" t="inlineStr">
        <is>
          <t>Cùng phạm vi với SL xuất bán.</t>
        </is>
      </c>
      <c r="D41" s="8" t="inlineStr">
        <is>
          <t>Giá vốn ròng (sau khi đã trừ phần trả lại).</t>
        </is>
      </c>
      <c r="E41" s="8" t="inlineStr"/>
    </row>
    <row r="42">
      <c r="A42" s="7" t="inlineStr">
        <is>
          <t>Lãi</t>
        </is>
      </c>
      <c r="B42" s="8" t="inlineStr">
        <is>
          <t>Lãi của dòng = Thực bán − Tiền vốn thực tế = Thực bán − (Tiền vốn − Tiền vốn tl). Tức doanh thu thực bán thuần trừ giá vốn ròng. Mỗi thành phần thiếu thì coi = 0.</t>
        </is>
      </c>
      <c r="C42" s="8" t="inlineStr">
        <is>
          <t>Cùng phạm vi với SL xuất bán.</t>
        </is>
      </c>
      <c r="D42" s="8" t="inlineStr">
        <is>
          <t>Lãi gộp cấp dòng giao dịch (sau chiết khấu, sau trả hàng), chưa tính chi phí khuyến mại/quản lý.</t>
        </is>
      </c>
      <c r="E42" s="8" t="inlineStr"/>
    </row>
    <row r="43">
      <c r="A43" s="7" t="inlineStr">
        <is>
          <t>%TB/DT (Thực bán / Doanh thu)</t>
        </is>
      </c>
      <c r="B43" s="8" t="inlineStr">
        <is>
          <t>Tỷ lệ thực bán trên doanh thu xuất bán = Thực bán ÷ Doanh thu xuất bán, ra %. Chỉ tính khi Thực bán &gt; 0; nếu Thực bán ≤ 0 → = 0.</t>
        </is>
      </c>
      <c r="C43" s="8" t="inlineStr">
        <is>
          <t>Cùng phạm vi với SL xuất bán.</t>
        </is>
      </c>
      <c r="D43" s="8" t="inlineStr">
        <is>
          <t>TB = thực bán; DT = doanh thu (xuất bán). Cho biết sau chiết khấu/trả hàng còn giữ lại bao nhiêu % doanh thu bán ra.</t>
        </is>
      </c>
      <c r="E43" s="8" t="inlineStr"/>
    </row>
    <row r="44">
      <c r="A44" s="7" t="inlineStr">
        <is>
          <t>%GV/DT (Giá vốn / Doanh thu)</t>
        </is>
      </c>
      <c r="B44" s="8" t="inlineStr">
        <is>
          <t>Tỷ lệ giá vốn trên doanh thu xuất bán = Tiền vốn (giá vốn bán ra) ÷ Doanh thu xuất bán, ra %. Chỉ tính khi Tiền vốn &gt; 0; nếu Tiền vốn ≤ 0 → = 0.</t>
        </is>
      </c>
      <c r="C44" s="8" t="inlineStr">
        <is>
          <t>Cùng phạm vi với SL xuất bán.</t>
        </is>
      </c>
      <c r="D44" s="8" t="inlineStr">
        <is>
          <t>GV = giá vốn; DT = doanh thu (xuất bán). Cho biết giá vốn chiếm bao nhiêu % doanh thu bán ra.</t>
        </is>
      </c>
      <c r="E44" s="8" t="inlineStr"/>
    </row>
    <row r="45">
      <c r="A45" s="5" t="inlineStr">
        <is>
          <t>Biểu đồ MIS</t>
        </is>
      </c>
    </row>
    <row r="46" ht="28" customHeight="1">
      <c r="A46" s="6" t="inlineStr">
        <is>
          <t>Cột / Chỉ tiêu</t>
        </is>
      </c>
      <c r="B46" s="6" t="inlineStr">
        <is>
          <t>Cách tính (logic nghiệp vụ)</t>
        </is>
      </c>
      <c r="C46" s="6" t="inlineStr">
        <is>
          <t>Loại trừ / Bộ lọc</t>
        </is>
      </c>
      <c r="D46" s="6" t="inlineStr">
        <is>
          <t>Ghi chú</t>
        </is>
      </c>
      <c r="E46" s="6" t="inlineStr">
        <is>
          <t>KGR xác nhận</t>
        </is>
      </c>
    </row>
    <row r="47">
      <c r="A47" s="7" t="inlineStr">
        <is>
          <t>Doanh số thực tế (ô chỉ số)</t>
        </is>
      </c>
      <c r="B47" s="8" t="inlineStr">
        <is>
          <t>Ô chỉ số (KPI tile) hiển thị TỔNG Doanh số thực tế (đã gồm thuế GTGT) của các dòng đang lọc trên canvas MIS. Mỗi dòng: Doanh số thực tế = Doanh thu thực tế + tiền thuế GTGT của dòng (hợp nhất hóa đơn bán dấu +, chứng từ điều chỉnh giảm dấu −); ô chỉ số cộng tổng các dòng.</t>
        </is>
      </c>
      <c r="C47" s="8" t="inlineStr">
        <is>
          <t>Chỉ giao dịch đã hạch toán; chỉ tài khoản doanh thu và thuế GTGT đầu ra; loại dòng chiết khấu (Discount); loại giao dịch công ty con/chi nhánh nội bộ.</t>
        </is>
      </c>
      <c r="D47" s="8" t="inlineStr">
        <is>
          <t>Doanh số = doanh thu gồm VAT. Là tổng theo tập dòng đang hiển thị/lọc, không lũy kế theo ngày.</t>
        </is>
      </c>
      <c r="E47" s="8" t="inlineStr"/>
    </row>
    <row r="48">
      <c r="A48" s="7" t="inlineStr">
        <is>
          <t>Doanh thu thực tế (ô chỉ số)</t>
        </is>
      </c>
      <c r="B48" s="8" t="inlineStr">
        <is>
          <t>Ô chỉ số (KPI tile) hiển thị TỔNG Doanh thu thực tế (thuần, chưa VAT) của các dòng đang lọc trên canvas MIS. Mỗi dòng: Doanh thu thực tế = doanh thu gốc chưa VAT của dòng − phần chiết khấu của dòng (hợp nhất hóa đơn bán dấu +, chứng từ điều chỉnh giảm dấu −); ô chỉ số cộng tổng các dòng.</t>
        </is>
      </c>
      <c r="C48" s="8" t="inlineStr">
        <is>
          <t>Chỉ giao dịch đã hạch toán; chỉ tài khoản doanh thu; loại dòng chiết khấu (Discount); loại giao dịch công ty con/chi nhánh nội bộ.</t>
        </is>
      </c>
      <c r="D48" s="8" t="inlineStr">
        <is>
          <t>Doanh thu thuần (chưa VAT). Là tổng theo tập dòng đang hiển thị/lọc, không lũy kế theo ngày.</t>
        </is>
      </c>
      <c r="E48" s="8" t="inlineStr"/>
    </row>
  </sheetData>
  <mergeCells count="2">
    <mergeCell ref="A45:E45"/>
    <mergeCell ref="A3:E3"/>
  </mergeCells>
  <dataValidations count="1">
    <dataValidation sqref="E4:E49"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2026-06-30T17:10:59Z</dcterms:created>
  <dcterms:modified xmlns:dcterms="http://purl.org/dc/terms/" xmlns:xsi="http://www.w3.org/2001/XMLSchema-instance" xsi:type="dcterms:W3CDTF">2026-06-30T17:10:59Z</dcterms:modified>
</cp:coreProperties>
</file>