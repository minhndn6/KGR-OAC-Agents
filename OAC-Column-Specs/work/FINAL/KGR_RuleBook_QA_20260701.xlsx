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Glossary" sheetId="1" state="visible" r:id="rId1"/>
    <sheet xmlns:r="http://schemas.openxmlformats.org/officeDocument/2006/relationships" name="BC01_Summary_TĐ" sheetId="2" state="visible" r:id="rId2"/>
    <sheet xmlns:r="http://schemas.openxmlformats.org/officeDocument/2006/relationships" name="BC01_Summary_Ngành" sheetId="3" state="visible" r:id="rId3"/>
    <sheet xmlns:r="http://schemas.openxmlformats.org/officeDocument/2006/relationships" name="BC01_Hàng ngày" sheetId="4" state="visible" r:id="rId4"/>
    <sheet xmlns:r="http://schemas.openxmlformats.org/officeDocument/2006/relationships" name="SFC Ước Tính" sheetId="5" state="visible" r:id="rId5"/>
    <sheet xmlns:r="http://schemas.openxmlformats.org/officeDocument/2006/relationships" name="SFC Thực Tế" sheetId="6" state="visible" r:id="rId6"/>
    <sheet xmlns:r="http://schemas.openxmlformats.org/officeDocument/2006/relationships" name="MI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44BA46"/>
      <sz val="13"/>
    </font>
    <font>
      <b val="1"/>
      <color rgb="00FFFFFF"/>
      <sz val="10"/>
    </font>
    <font>
      <b val="1"/>
      <color rgb="0044BA46"/>
      <sz val="12"/>
    </font>
    <font>
      <b val="1"/>
    </font>
  </fonts>
  <fills count="4">
    <fill>
      <patternFill/>
    </fill>
    <fill>
      <patternFill patternType="gray125"/>
    </fill>
    <fill>
      <patternFill patternType="solid">
        <fgColor rgb="0044BA46"/>
      </patternFill>
    </fill>
    <fill>
      <patternFill patternType="solid">
        <fgColor rgb="002E7D3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3" fillId="0" borderId="0" pivotButton="0" quotePrefix="0" xfId="0"/>
    <xf numFmtId="0" fontId="2" fillId="3" borderId="0" pivotButton="0" quotePrefix="0" xfId="0"/>
    <xf numFmtId="0" fontId="2" fillId="2" borderId="1" applyAlignment="1" pivotButton="0" quotePrefix="0" xfId="0">
      <alignment horizontal="center" vertical="center"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95" customWidth="1" min="2" max="2"/>
  </cols>
  <sheetData>
    <row r="1">
      <c r="A1" s="1" t="inlineStr">
        <is>
          <t>RULE-BOOK BÁO CÁO KGR — Thuật ngữ dùng chung (xác nhận 1 lần)</t>
        </is>
      </c>
    </row>
    <row r="3">
      <c r="A3" s="2" t="inlineStr">
        <is>
          <t>Thuật ngữ</t>
        </is>
      </c>
      <c r="B3" s="2" t="inlineStr">
        <is>
          <t>Định nghĩa</t>
        </is>
      </c>
    </row>
    <row r="4">
      <c r="A4" s="3" t="inlineStr">
        <is>
          <t>Doanh số (+VAT)</t>
        </is>
      </c>
      <c r="B4" s="3" t="inlineStr">
        <is>
          <t>Tổng giá trị bán hàng đã bao gồm thuế GTGT (doanh số gộp).</t>
        </is>
      </c>
    </row>
    <row r="5">
      <c r="A5" s="3" t="inlineStr">
        <is>
          <t>Doanh thu</t>
        </is>
      </c>
      <c r="B5" s="3" t="inlineStr">
        <is>
          <t>Doanh thu THUẦN (chưa gồm VAT) từ bán hàng, sau khi trừ trả hàng/ghi có; đã loại kênh nội bộ &amp; giao dịch tranh chấp.</t>
        </is>
      </c>
    </row>
    <row r="6">
      <c r="A6" s="3" t="inlineStr">
        <is>
          <t>Giá vốn</t>
        </is>
      </c>
      <c r="B6" s="3" t="inlineStr">
        <is>
          <t>Giá vốn hàng bán (COGS): tính theo 3 lớp ưu tiên (giá vốn mục tiêu → giá vốn tồn kho → dự phòng); hàng tặng và dòng chiết khấu tính giá vốn = 0.</t>
        </is>
      </c>
    </row>
    <row r="7">
      <c r="A7" s="3" t="inlineStr">
        <is>
          <t>Lợi nhuận gộp</t>
        </is>
      </c>
      <c r="B7" s="3">
        <f> Doanh thu − Giá vốn.</f>
        <v/>
      </c>
    </row>
    <row r="8">
      <c r="A8" s="3" t="inlineStr">
        <is>
          <t>CKKM</t>
        </is>
      </c>
      <c r="B8" s="3" t="inlineStr">
        <is>
          <t>Chi phí chiết khấu/khuyến mãi thương mại (chi cho chương trình khuyến mãi).</t>
        </is>
      </c>
    </row>
    <row r="9">
      <c r="A9" s="3" t="inlineStr">
        <is>
          <t>AOP</t>
        </is>
      </c>
      <c r="B9" s="3" t="inlineStr">
        <is>
          <t>Kế hoạch năm (Annual Operating Plan) — mức mục tiêu/định mức được phân bổ cho từng chỉ tiêu. Là số KẾ HOẠCH, không phải thực tế.</t>
        </is>
      </c>
    </row>
    <row r="10">
      <c r="A10" s="3" t="inlineStr">
        <is>
          <t>Ước tính theo AOP</t>
        </is>
      </c>
      <c r="B10" s="3" t="inlineStr">
        <is>
          <t>Giá trị KHÔNG phải chi phí thực phát sinh, mà SUY RA từ kế hoạch AOP (tỷ lệ % trên doanh thu, hoặc phân bổ theo số ngày). Áp dụng cho nhiều dòng chi phí nằm DƯỚI 'Lợi nhuận gộp'. Khi đọc các dòng này cần hiểu là ước tính.</t>
        </is>
      </c>
    </row>
    <row r="11">
      <c r="A11" s="3" t="inlineStr">
        <is>
          <t>Xanh / Đỏ</t>
        </is>
      </c>
      <c r="B11" s="3" t="inlineStr">
        <is>
          <t>Phân loại sản phẩm: Xanh (nhóm ưu tiên) và Đỏ. Mỗi sản phẩm luôn thuộc đúng 1 trong 2 nhóm.</t>
        </is>
      </c>
    </row>
    <row r="12">
      <c r="A12" s="3" t="inlineStr">
        <is>
          <t>Tỷ lệ Xanh/Đỏ</t>
        </is>
      </c>
      <c r="B12" s="3" t="inlineStr">
        <is>
          <t>Tỷ lệ giữa doanh số sản phẩm nhóm Xanh và nhóm Đỏ.</t>
        </is>
      </c>
    </row>
    <row r="13">
      <c r="A13" s="3" t="inlineStr">
        <is>
          <t>Lũy kế (AsOfDate)</t>
        </is>
      </c>
      <c r="B13" s="3" t="inlineStr">
        <is>
          <t>Cộng dồn từ đầu kỳ đến NGÀY được chọn ở bộ lọc trên canvas. Đổi ngày → đổi số lũy kế.</t>
        </is>
      </c>
    </row>
    <row r="14">
      <c r="A14" s="3" t="inlineStr">
        <is>
          <t>Kênh nội bộ</t>
        </is>
      </c>
      <c r="B14" s="3" t="inlineStr">
        <is>
          <t>Kênh bán nội bộ trong tập đoàn — KHÔNG tính vào doanh thu/doanh số thực tế (bị loại trừ).</t>
        </is>
      </c>
    </row>
    <row r="15">
      <c r="A15" s="3" t="inlineStr">
        <is>
          <t>%/DS</t>
        </is>
      </c>
      <c r="B15" s="3" t="inlineStr">
        <is>
          <t>Tỷ trọng tính theo phần trăm trên Doanh số (hoặc Doanh thu) — cho biết chỉ tiêu chiếm bao nhiêu phần trăm doanh số.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2" topLeftCell="A3" activePane="bottomLeft" state="frozen"/>
      <selection pane="bottomLeft" activeCell="A1" sqref="A1"/>
    </sheetView>
  </sheetViews>
  <sheetFormatPr baseColWidth="8" defaultRowHeight="15"/>
  <cols>
    <col width="24" customWidth="1" min="1" max="1"/>
    <col width="48" customWidth="1" min="2" max="2"/>
    <col width="30" customWidth="1" min="3" max="3"/>
    <col width="24" customWidth="1" min="4" max="4"/>
    <col width="48" customWidth="1" min="5" max="5"/>
    <col width="30" customWidth="1" min="6" max="6"/>
    <col width="24" customWidth="1" min="7" max="7"/>
    <col width="12" customWidth="1" min="8" max="8"/>
  </cols>
  <sheetData>
    <row r="1">
      <c r="A1" s="4" t="inlineStr">
        <is>
          <t>(KGR) BRD.BC01_Daily_Summary v1.1 · BC01_Summary_TĐ · SUMMARY TẬP ĐOÀN</t>
        </is>
      </c>
    </row>
    <row r="3">
      <c r="A3" s="5" t="inlineStr">
        <is>
          <t>A. Các CỘT giá trị</t>
        </is>
      </c>
    </row>
    <row r="4" ht="28" customHeight="1">
      <c r="A4" s="6" t="inlineStr">
        <is>
          <t>Cột / Chỉ tiêu</t>
        </is>
      </c>
      <c r="B4" s="6" t="inlineStr">
        <is>
          <t>Cách tính (logic nghiệp vụ)</t>
        </is>
      </c>
      <c r="C4" s="6" t="inlineStr">
        <is>
          <t>Loại trừ / Bộ lọc</t>
        </is>
      </c>
      <c r="D4" s="6" t="inlineStr">
        <is>
          <t>Ghi chú</t>
        </is>
      </c>
      <c r="E4" s="6" t="inlineStr">
        <is>
          <t>Cách tính (QA)</t>
        </is>
      </c>
      <c r="F4" s="6" t="inlineStr">
        <is>
          <t>Loại trừ-Bộ lọc (QA)</t>
        </is>
      </c>
      <c r="G4" s="6" t="inlineStr">
        <is>
          <t>Ghi chú (QA)</t>
        </is>
      </c>
      <c r="H4" s="6" t="inlineStr">
        <is>
          <t>KGR xác nhận</t>
        </is>
      </c>
    </row>
    <row r="5">
      <c r="A5" s="7" t="inlineStr">
        <is>
          <t>No.</t>
        </is>
      </c>
      <c r="B5" s="8" t="inlineStr">
        <is>
          <t>Số thứ tự dòng chỉ tiêu (1→25), cố định theo trình tự bảng lãi lỗ; chỉ để sắp xếp, không phải số liệu.</t>
        </is>
      </c>
      <c r="C5" s="8" t="inlineStr">
        <is>
          <t>—</t>
        </is>
      </c>
      <c r="D5" s="8" t="inlineStr"/>
      <c r="E5" s="8" t="inlineStr">
        <is>
          <t>(Giữ nguyên)</t>
        </is>
      </c>
      <c r="F5" s="8" t="inlineStr">
        <is>
          <t>(Giữ nguyên)</t>
        </is>
      </c>
      <c r="G5" s="8" t="inlineStr">
        <is>
          <t>(Giữ nguyên)</t>
        </is>
      </c>
      <c r="H5" s="8" t="inlineStr"/>
    </row>
    <row r="6">
      <c r="A6" s="7" t="inlineStr">
        <is>
          <t>Tên chỉ tiêu</t>
        </is>
      </c>
      <c r="B6" s="8" t="inlineStr">
        <is>
          <t>Nhãn chỉ tiêu của dòng (chiều dòng của bảng); danh mục 25 chỉ tiêu P&amp;L cố định.</t>
        </is>
      </c>
      <c r="C6" s="8" t="inlineStr">
        <is>
          <t>—</t>
        </is>
      </c>
      <c r="D6" s="8" t="inlineStr"/>
      <c r="E6" s="8" t="inlineStr">
        <is>
          <t>Nhãn chỉ tiêu của dòng (chiều dòng của bảng). Bảng liệt kê 25 chỉ tiêu P&amp;L cố định theo đúng trình tự bảng lãi lỗ; mỗi dòng mang một số thứ tự (cột No.) tương ứng để đối chiếu.</t>
        </is>
      </c>
      <c r="F6" s="8" t="inlineStr">
        <is>
          <t>—</t>
        </is>
      </c>
      <c r="G6" s="8" t="inlineStr">
        <is>
          <t>Số lượng dòng chỉ tiêu và số thứ tự (No.) gán cho 'Tỷ lệ Xanh/Đỏ' và 'CP dự phòng tồn kho thanh lý' (đặt cuối bảng hay xen giữa) cần KGR xác nhận trên viz SUMMARY TẬP ĐOÀN để khớp giữa mô tả cột No. và danh sách thực tế.</t>
        </is>
      </c>
      <c r="H6" s="8" t="inlineStr"/>
    </row>
    <row r="7">
      <c r="A7" s="7" t="inlineStr">
        <is>
          <t>Doanh số AOP</t>
        </is>
      </c>
      <c r="B7" s="8" t="inlineStr">
        <is>
          <t>Giá trị KẾ HOẠCH (AOP) của chỉ tiêu trong kỳ — lấy trực tiếp từ bản kế hoạch năm (AOP) đã phân bổ cho từng chỉ tiêu, theo kỳ (tháng) và cấp tập đoàn. Nếu kỳ đó chưa có kế hoạch cho chỉ tiêu → để trống.</t>
        </is>
      </c>
      <c r="C7" s="8" t="inlineStr">
        <is>
          <t>—</t>
        </is>
      </c>
      <c r="D7" s="8" t="inlineStr">
        <is>
          <t>Là số kế hoạch, không phải thực tế.</t>
        </is>
      </c>
      <c r="E7" s="8" t="inlineStr">
        <is>
          <t>Giá trị KẾ HOẠCH (AOP) của chỉ tiêu trong kỳ — lấy trực tiếp từ bản kế hoạch năm (AOP) đã phân bổ cho từng chỉ tiêu, theo kỳ (tháng) và cấp tập đoàn. Đây là số kế hoạch CẢ THÁNG (ghép theo tháng, KHÔNG lũy kế/phân bổ theo ngày — không đổi khi đổi ngày chọn trong cùng tháng). Nếu kỳ đó chưa có kế hoạch cho chỉ tiêu → để trống.</t>
        </is>
      </c>
      <c r="F7" s="8" t="inlineStr">
        <is>
          <t>—</t>
        </is>
      </c>
      <c r="G7" s="8" t="inlineStr">
        <is>
          <t>Là số kế hoạch, không phải thực tế. Cột này áp cho mọi dòng: dòng doanh thu/doanh số là kế hoạch doanh số, dòng chi phí là kế hoạch chi phí của dòng đó. Lưu ý cơ sở kỳ KHÁC với cột 'Giá trị thực tế' (cả-tháng so với lũy-kế-tới-ngày-chọn) — KGR nên nắm cách so khi đọc cột chênh lệch.</t>
        </is>
      </c>
      <c r="H7" s="8" t="inlineStr"/>
    </row>
    <row r="8">
      <c r="A8" s="7" t="inlineStr">
        <is>
          <t>%/DS AOP</t>
        </is>
      </c>
      <c r="B8" s="8" t="inlineStr">
        <is>
          <t>Phần trăm KẾ HOẠCH của chỉ tiêu trên doanh số — lấy trực tiếp tỷ lệ %/doanh số trong bản kế hoạch AOP của chỉ tiêu (theo kỳ, cấp tập đoàn).</t>
        </is>
      </c>
      <c r="C8" s="8" t="inlineStr">
        <is>
          <t>—</t>
        </is>
      </c>
      <c r="D8" s="8" t="inlineStr"/>
      <c r="E8" s="8" t="inlineStr">
        <is>
          <t>Phần trăm KẾ HOẠCH của chỉ tiêu trên doanh số kế hoạch — lấy thẳng tỷ lệ %/doanh số ghi trong bản kế hoạch AOP của chỉ tiêu (theo kỳ, cấp tập đoàn), không tự tính lại. Mẫu số là Doanh số KẾ HOẠCH (AOP).</t>
        </is>
      </c>
      <c r="F8" s="8" t="inlineStr">
        <is>
          <t>—</t>
        </is>
      </c>
      <c r="G8" s="8" t="inlineStr">
        <is>
          <t>Định nghĩa '%/DS' trong Glossary ghi 'Doanh số hoặc Doanh thu', riêng cột này mẫu số là Doanh số kế hoạch (AOP). KGR nên xác nhận để chốt dứt khoát định nghĩa '%/DS'.</t>
        </is>
      </c>
      <c r="H8" s="8" t="inlineStr"/>
    </row>
    <row r="9">
      <c r="A9" s="7" t="inlineStr">
        <is>
          <t>Giá trị thực tế</t>
        </is>
      </c>
      <c r="B9" s="8">
        <f> Giá trị thực tế của chỉ tiêu (cách tính từng chỉ tiêu xem khối B bên dưới), CỘNG DỒN từ ĐẦU THÁNG đến ngày được chọn. RIÊNG dòng 'Tỷ lệ Xanh/Đỏ': cột này hiển thị = % doanh số Xanh = Doanh số Xanh ÷ (Doanh số Xanh + Doanh số Đỏ) × 100.</f>
        <v/>
      </c>
      <c r="C9" s="8" t="inlineStr">
        <is>
          <t>Lũy kế trong THÁNG (reset đầu mỗi tháng), đến ngày được chọn ở bộ lọc; đổi ngày → đổi số.</t>
        </is>
      </c>
      <c r="D9" s="8" t="inlineStr"/>
      <c r="E9" s="8">
        <f> Giá trị thực tế của chỉ tiêu (cách tính từng chỉ tiêu xem khối các chỉ tiêu bên dưới), CỘNG DỒN từ ĐẦU THÁNG đến ngày được chọn (lũy kế reset vào đầu mỗi tháng). RIÊNG dòng 'Tỷ lệ Xanh/Đỏ': cột này hiển thị % doanh số Xanh = Doanh số Xanh ÷ (Doanh số Xanh + Doanh số Đỏ) × 100 (đơn vị %, 0–100); các dòng còn lại là số tiền.</f>
        <v/>
      </c>
      <c r="F9" s="8" t="inlineStr">
        <is>
          <t>Lũy kế trong THÁNG, reset đầu mỗi tháng, cộng dồn đến ngày được chọn ở bộ lọc; đổi ngày → đổi số. 'Kỳ' của lũy kế ở đây là THÁNG (đồng bộ với Glossary 'Lũy kế': cộng dồn từ đầu kỳ = đầu tháng đến ngày chọn).</t>
        </is>
      </c>
      <c r="G9" s="8" t="inlineStr">
        <is>
          <t>Cách quy đổi % của dòng 'Tỷ lệ Xanh/Đỏ' được định nghĩa nguồn tại chính dòng 'Tỷ lệ Xanh/Đỏ' — tránh chỉnh sửa ở hai nơi. Cột này có đơn vị hỗn hợp: số tiền cho hầu hết các dòng, riêng 'Tỷ lệ Xanh/Đỏ' là %.</t>
        </is>
      </c>
      <c r="H9" s="8" t="inlineStr"/>
    </row>
    <row r="10">
      <c r="A10" s="7" t="inlineStr">
        <is>
          <t>%/ DS thực tế</t>
        </is>
      </c>
      <c r="B10" s="8">
        <f> Giá trị thực tế của chỉ tiêu ÷ Doanh thu thực tế (cùng lũy kế đến ngày được chọn), ra %.</f>
        <v/>
      </c>
      <c r="C10" s="8" t="inlineStr">
        <is>
          <t>Không áp dụng cho 3 dòng: Doanh số (+VAT), Doanh thu, Tỷ lệ Xanh/Đỏ → để trống.</t>
        </is>
      </c>
      <c r="D10" s="8" t="inlineStr"/>
      <c r="E10" s="8">
        <f> Giá trị thực tế của chỉ tiêu ÷ Doanh thu thực tế (Doanh thu THUẦN, cùng lũy kế đến ngày được chọn), ra %. Mẫu số = 0 → để trống.</f>
        <v/>
      </c>
      <c r="F10" s="8" t="inlineStr">
        <is>
          <t>Không áp dụng cho 3 dòng: Doanh số (+VAT), Doanh thu, Tỷ lệ Xanh/Đỏ → để trống. (Cùng quy tắc loại trừ với cột '%/DS (Thiếu so với AOP)'.)</t>
        </is>
      </c>
      <c r="G10" s="8" t="inlineStr">
        <is>
          <t>Nhãn cột dùng 'DS' (Doanh số) nhưng mẫu số thực tế là Doanh thu THUẦN — KGR nên xác nhận tên cột (cân nhắc đổi thành '%/DT thực tế' hoặc ghi rõ 'tỷ trọng trên Doanh thu thuần') để khớp định nghĩa '%/DS' trong Glossary.</t>
        </is>
      </c>
      <c r="H10" s="8" t="inlineStr"/>
    </row>
    <row r="11">
      <c r="A11" s="7" t="inlineStr">
        <is>
          <t>Giá trị thiếu so với AOP</t>
        </is>
      </c>
      <c r="B11" s="8">
        <f> Doanh số AOP (kế hoạch của chỉ tiêu) − Giá trị thực tế của chỉ tiêu. Dương = chưa đạt kế hoạch; riêng các dòng chi phí, số âm = chi VƯỢT kế hoạch.</f>
        <v/>
      </c>
      <c r="C11" s="8" t="inlineStr">
        <is>
          <t>Không áp dụng dòng Tỷ lệ Xanh/Đỏ → để trống.</t>
        </is>
      </c>
      <c r="D11" s="8" t="inlineStr"/>
      <c r="E11" s="8">
        <f> Doanh số AOP (kế hoạch của chỉ tiêu) − Giá trị thực tế của chỉ tiêu. Lưu ý hai cơ sở kỳ khác nhau: Doanh số AOP là kế hoạch CẢ THÁNG, còn Giá trị thực tế là lũy kế tới ngày được chọn; vì vậy đây là so kế-hoạch-cả-tháng với thực-tế-lũy-kế. Quy ước dấu theo nhóm dòng: dòng doanh thu/doanh số → dương = chưa đạt kế hoạch; dòng chi phí → âm = chi VƯỢT kế hoạch; dòng lợi nhuận → dương = thực tế THẤP hơn kế hoạch.</f>
        <v/>
      </c>
      <c r="F11" s="8" t="inlineStr">
        <is>
          <t>Không áp dụng dòng Tỷ lệ Xanh/Đỏ → để trống.</t>
        </is>
      </c>
      <c r="G11" s="8" t="inlineStr">
        <is>
          <t>Cơ sở kỳ giữa kế hoạch (cả tháng) và thực tế (lũy kế) khác nhau — KGR nên nắm cách so khi đọc. Cân nhắc đổi sang nhãn trung tính ('Chênh lệch so với AOP') thay vì 'thiếu' để tránh hiểu nhầm ở dòng chi phí; KGR xác nhận.</t>
        </is>
      </c>
      <c r="H11" s="8" t="inlineStr"/>
    </row>
    <row r="12">
      <c r="A12" s="7" t="inlineStr">
        <is>
          <t>%/DS (Thiếu so với AOP)</t>
        </is>
      </c>
      <c r="B12" s="8">
        <f> (Doanh số AOP − Giá trị thực tế) ÷ Doanh thu thực tế, ra %.</f>
        <v/>
      </c>
      <c r="C12" s="8" t="inlineStr">
        <is>
          <t>Không áp dụng 3 dòng: Doanh số (+VAT), Doanh thu, Tỷ lệ Xanh/Đỏ → để trống.</t>
        </is>
      </c>
      <c r="D12" s="8" t="inlineStr"/>
      <c r="E12" s="8">
        <f> (Doanh số AOP − Giá trị thực tế) ÷ Doanh thu thực tế (Doanh thu THUẦN, lũy kế tới ngày được chọn), ra %. Mẫu số = 0 → để trống. Tử số kế thừa cách so kế-hoạch-cả-tháng với thực-tế-lũy-kế như cột 'Giá trị thiếu so với AOP'.</f>
        <v/>
      </c>
      <c r="F12" s="8" t="inlineStr">
        <is>
          <t>Không áp dụng 3 dòng: Doanh số (+VAT), Doanh thu, Tỷ lệ Xanh/Đỏ → để trống (cùng loại trừ với cột '%/ DS thực tế').</t>
        </is>
      </c>
      <c r="G12" s="8" t="inlineStr">
        <is>
          <t>Nhãn cột dùng 'DS' nhưng mẫu số là Doanh thu THUẦN, đồng bộ với cột '%/ DS thực tế' — KGR nên xác nhận tên cột.</t>
        </is>
      </c>
      <c r="H12" s="8" t="inlineStr"/>
    </row>
    <row r="13">
      <c r="A13" s="5" t="inlineStr">
        <is>
          <t>B. Các DÒNG chỉ tiêu</t>
        </is>
      </c>
    </row>
    <row r="14" ht="28" customHeight="1">
      <c r="A14" s="6" t="inlineStr">
        <is>
          <t>Cột / Chỉ tiêu</t>
        </is>
      </c>
      <c r="B14" s="6" t="inlineStr">
        <is>
          <t>Cách tính (logic nghiệp vụ)</t>
        </is>
      </c>
      <c r="C14" s="6" t="inlineStr">
        <is>
          <t>Loại trừ / Bộ lọc</t>
        </is>
      </c>
      <c r="D14" s="6" t="inlineStr">
        <is>
          <t>Ghi chú</t>
        </is>
      </c>
      <c r="E14" s="6" t="inlineStr">
        <is>
          <t>Cách tính (QA)</t>
        </is>
      </c>
      <c r="F14" s="6" t="inlineStr">
        <is>
          <t>Loại trừ-Bộ lọc (QA)</t>
        </is>
      </c>
      <c r="G14" s="6" t="inlineStr">
        <is>
          <t>Ghi chú (QA)</t>
        </is>
      </c>
      <c r="H14" s="6" t="inlineStr">
        <is>
          <t>KGR xác nhận</t>
        </is>
      </c>
    </row>
    <row r="15">
      <c r="A15" s="7" t="inlineStr">
        <is>
          <t>Doanh số (+VAT)</t>
        </is>
      </c>
      <c r="B15" s="8" t="inlineStr">
        <is>
          <t>Doanh số bán hàng đã gồm thuế GTGT, lũy kế trong tháng đến ngày được chọn. Mỗi dòng = doanh thu thuần của dòng + thuế GTGT đầu ra của dòng (lấy theo SỐ THUẾ GTGT ghi trên từng dòng hóa đơn, tức theo thuế suất của dòng — không phải một suất cố định). Hợp nhất hóa đơn bán (dấu +) và chứng từ điều chỉnh giảm/credit memo (dấu −).</t>
        </is>
      </c>
      <c r="C15" s="8" t="inlineStr">
        <is>
          <t>Chỉ 2 pháp nhân 'CTCP LD Kangaroo Quốc tế' (VU1) và 'Chi nhánh HCM'; chỉ giao dịch đã hạch toán (đã ghi sổ kế toán kỳ tương ứng); loại dòng có vụ việc = Hàng thanh lý (HTL); loại khách hàng được đánh dấu ký gửi; loại giao dịch thuộc kênh nội bộ.</t>
        </is>
      </c>
      <c r="D15" s="8" t="inlineStr"/>
      <c r="E15" s="8" t="inlineStr">
        <is>
          <t>Doanh số bán hàng đã gồm thuế GTGT, lũy kế trong tháng đến ngày được chọn. Mỗi dòng = doanh thu thuần của dòng + thuế GTGT đầu ra của dòng; số thuế GTGT lấy theo SỐ THUẾ ĐÃ GHI trên từng dòng hóa đơn (đã hạch toán), KHÔNG tính lại từ thuế suất và không dùng một suất cố định. Dòng có thuế GTGT = 0 (vd hàng tặng/dòng miễn thuế) → phần VAT cộng thêm = 0. Hợp nhất hóa đơn bán (dấu +) và chứng từ điều chỉnh giảm/credit memo (dấu −).</t>
        </is>
      </c>
      <c r="F15" s="8" t="inlineStr">
        <is>
          <t>Chỉ 2 pháp nhân: 'CTCP LD Kangaroo Quốc tế' (VU1) và 'Chi nhánh HCM'. Chỉ giao dịch ĐÃ HẠCH TOÁN (đã ghi sổ kế toán của kỳ tương ứng với ngày giao dịch). Loại dòng có vụ việc = Hàng thanh lý (HTL). Loại khách hàng được đánh dấu ký gửi. Loại giao dịch thuộc kênh nội bộ.</t>
        </is>
      </c>
      <c r="G15" s="8" t="inlineStr">
        <is>
          <t>KGR xác nhận danh sách pháp nhân đã đầy đủ (VU1 = CTCP LD Kangaroo Quốc tế; và Chi nhánh HCM).</t>
        </is>
      </c>
      <c r="H15" s="8" t="inlineStr"/>
    </row>
    <row r="16">
      <c r="A16" s="7" t="inlineStr">
        <is>
          <t>Doanh thu</t>
        </is>
      </c>
      <c r="B16" s="8" t="inlineStr">
        <is>
          <t>Doanh thu THUẦN (chưa VAT) từ bán hàng, lũy kế đến ngày chọn. Mỗi dòng = doanh thu gốc chưa VAT của dòng (giá bán đã trừ chiết khấu trên hóa đơn; các dòng chiết khấu là dòng riêng) × dấu (hóa đơn bán = +, credit memo = −); cộng dồn. Chỉ lấy phát sinh thuộc tài khoản doanh thu.</t>
        </is>
      </c>
      <c r="C16" s="8" t="inlineStr">
        <is>
          <t>Chỉ 2 pháp nhân 'CTCP LD Kangaroo Quốc tế' (VU1) và 'Chi nhánh HCM'; chỉ giao dịch đã hạch toán (đã ghi sổ kế toán kỳ tương ứng); loại dòng có vụ việc = Hàng thanh lý (HTL); loại khách hàng được đánh dấu ký gửi; loại giao dịch thuộc kênh nội bộ.</t>
        </is>
      </c>
      <c r="D16" s="8" t="inlineStr"/>
      <c r="E16" s="8" t="inlineStr">
        <is>
          <t>Doanh thu THUẦN (chưa VAT) từ bán hàng, lũy kế đến ngày chọn. Mỗi dòng = doanh thu gốc chưa VAT của dòng × dấu (hóa đơn bán = +, credit memo = −); cộng dồn. Trong đó chiết khấu đã phản ánh ngay trong đơn giá bán của chính dòng đó; các dòng chiết khấu thương mại được tách thành dòng riêng (mang dấu giảm) và là loại KHÁC với chiết-khấu-trên-giá — KHÔNG trừ trùng. Chỉ lấy phát sinh thuộc tài khoản doanh thu.</t>
        </is>
      </c>
      <c r="F16" s="8" t="inlineStr">
        <is>
          <t>Chỉ 2 pháp nhân: 'CTCP LD Kangaroo Quốc tế' (VU1) và 'Chi nhánh HCM'. Chỉ giao dịch đã hạch toán (đã ghi sổ kế toán kỳ tương ứng). Loại dòng có vụ việc = Hàng thanh lý (HTL). Loại khách hàng được đánh dấu ký gửi. Loại giao dịch thuộc kênh nội bộ.</t>
        </is>
      </c>
      <c r="G16" s="8" t="inlineStr">
        <is>
          <t>Glossary 'Doanh thu' có nhắc loại 'giao dịch tranh chấp', nhưng dòng chi tiết theo định nghĩa live chỉ loại HTL/ký gửi/kênh nội bộ — KGR xác nhận có loại 'giao dịch tranh chấp' không, để đồng bộ Glossary và dòng chi tiết. Nhóm tài khoản doanh thu cụ thể cũng cần KGR xác nhận.</t>
        </is>
      </c>
      <c r="H16" s="8" t="inlineStr"/>
    </row>
    <row r="17">
      <c r="A17" s="7" t="inlineStr">
        <is>
          <t>Giá vốn</t>
        </is>
      </c>
      <c r="B17" s="8" t="inlineStr">
        <is>
          <t>Tổng giá vốn hàng bán, lũy kế đến ngày chọn. Giá vốn 1 dòng = đơn giá vốn × số lượng (lấy trị tuyệt đối số lượng). Đơn giá vốn theo 3 lớp ưu tiên: (1) 'Giá vốn mục tiêu' tra theo mã sản phẩm (MSP) + tháng giao dịch; (2) nếu không có → 'Giá vốn tồn kho' tra theo mã item + pháp nhân + kỳ; (3) nếu vẫn không có → = 50% doanh thu thực tế của dòng. Credit memo lấy dấu âm.</t>
        </is>
      </c>
      <c r="C17" s="8" t="inlineStr">
        <is>
          <t>Hàng tặng (free-gift) mà doanh thu = 0 → giá vốn = 0; dòng chiết khấu → giá vốn = 0; phạm vi pháp nhân/hạch toán như Doanh thu.</t>
        </is>
      </c>
      <c r="D17" s="8" t="inlineStr"/>
      <c r="E17" s="8" t="inlineStr">
        <is>
          <t>Tổng giá vốn hàng bán, lũy kế đến ngày chọn. Giá vốn 1 dòng tính theo 3 lớp ưu tiên: (1) 'Giá vốn mục tiêu' (đơn giá) × |số lượng| — đơn giá tra theo mã sản phẩm (MSP = mã sản phẩm) + tháng giao dịch; (2) nếu không có → 'Giá vốn tồn kho' (đơn giá) × |số lượng| — tra theo mã item + pháp nhân + kỳ (tháng) giao dịch; (3) nếu vẫn không có → = 50% Doanh thu thực tế CỦA DÒNG (lớp này KHÔNG nhân số lượng). Quy ước dấu: chứng từ điều chỉnh giảm (credit memo) → giá vốn của dòng MANG DẤU ÂM (dù số lượng đã lấy trị tuyệt đối).</t>
        </is>
      </c>
      <c r="F17" s="8" t="inlineStr">
        <is>
          <t>Hàng tặng (free-gift) mà doanh thu = 0 → giá vốn = 0; dòng chiết khấu → giá vốn = 0; phạm vi pháp nhân/hạch toán như Doanh thu.</t>
        </is>
      </c>
      <c r="G17" s="8" t="inlineStr">
        <is>
          <t>Lớp 3 (50% Doanh thu thực tế của dòng) chính là khoản Glossary gọi là 'dự phòng' — cùng một thứ. 'MSP' = mã sản phẩm; 'mã item' = mã mặt hàng tồn kho; 'kỳ' = tháng của giao dịch.</t>
        </is>
      </c>
      <c r="H17" s="8" t="inlineStr"/>
    </row>
    <row r="18">
      <c r="A18" s="7" t="inlineStr">
        <is>
          <t>Lợi nhuận gộp</t>
        </is>
      </c>
      <c r="B18" s="8">
        <f> Doanh thu − Giá vốn (hai chỉ tiêu cùng bảng, cùng phạm vi/kỳ/lũy kế). Là hiệu của 2 TỔNG cấp tập đoàn — không khớp lại theo từng dòng hóa đơn.</f>
        <v/>
      </c>
      <c r="C18" s="8" t="inlineStr">
        <is>
          <t>—</t>
        </is>
      </c>
      <c r="D18" s="8" t="inlineStr"/>
      <c r="E18" s="8" t="inlineStr">
        <is>
          <t>(Giữ nguyên)</t>
        </is>
      </c>
      <c r="F18" s="8" t="inlineStr">
        <is>
          <t>(Giữ nguyên)</t>
        </is>
      </c>
      <c r="G18" s="8" t="inlineStr">
        <is>
          <t>(Giữ nguyên)</t>
        </is>
      </c>
      <c r="H18" s="8" t="inlineStr"/>
    </row>
    <row r="19">
      <c r="A19" s="7" t="inlineStr">
        <is>
          <t>CP chiết khấu khuyến mại</t>
        </is>
      </c>
      <c r="B19" s="8">
        <f> Doanh thu thực tế của dòng × tỷ lệ CKKM, lũy kế đến ngày chọn. Tỷ lệ CKKM lấy từ chương trình khuyến mãi (trade promotion), là tỷ lệ % TRUNG BÌNH CỘNG theo THÁNG cho từng tổ hợp; khớp vào dòng hóa đơn ưu tiên theo (Model sản phẩm + Kênh bán + kỳ); nếu không có → theo (Model sản phẩm + Chuỗi + kỳ); nếu không có → 0. (Model = cấp model của sản phẩm; Kênh = kênh bán; Chuỗi = chuỗi bán hàng.)</f>
        <v/>
      </c>
      <c r="C19" s="8" t="inlineStr">
        <is>
          <t>Cùng phạm vi với Doanh thu (2 pháp nhân VU1 + HCM; đã hạch toán; loại hàng thanh lý (HTL)/khách ký gửi/kênh nội bộ).</t>
        </is>
      </c>
      <c r="D19" s="8" t="inlineStr"/>
      <c r="E19" s="8">
        <f> Doanh thu thực tế của dòng × tỷ lệ CKKM, lũy kế đến ngày chọn. Tỷ lệ CKKM (chi phí chiết khấu/khuyến mãi) lấy từ chương trình khuyến mãi (trade promotion), là tỷ lệ % TRUNG BÌNH SỐ HỌC các tỷ lệ chương trình theo THÁNG cho từng tổ hợp (không phải bình quân gia quyền theo doanh thu). Khớp vào dòng hóa đơn theo thứ tự ưu tiên: (1) (Model sản phẩm + Kênh bán + kỳ); (2) nếu không có → (Model sản phẩm + Chuỗi + kỳ); (3) nếu vẫn không có → 0. Khi một dòng khớp NHIỀU chương trình trong tháng cho cùng tổ hợp, tỷ lệ áp là trung bình số học các tỷ lệ đó (không cộng dồn từng chương trình).</f>
        <v/>
      </c>
      <c r="F19" s="8" t="inlineStr">
        <is>
          <t>Cùng phạm vi với Doanh thu (2 pháp nhân VU1 + Chi nhánh HCM; chỉ giao dịch đã hạch toán; loại Hàng thanh lý (HTL) / khách ký gửi / kênh nội bộ).</t>
        </is>
      </c>
      <c r="G19" s="8" t="inlineStr">
        <is>
          <t>Thuật ngữ: 'Model' = cấp model của sản phẩm; 'Kênh' = kênh bán; 'Chuỗi' = chuỗi bán hàng; 'kỳ' = tháng. Glossary dùng 'CKKM = Chi phí chiết khấu/khuyến mãi' — nên thống nhất nhãn với tên dòng.</t>
        </is>
      </c>
      <c r="H19" s="8" t="inlineStr"/>
    </row>
    <row r="20">
      <c r="A20" s="7" t="inlineStr">
        <is>
          <t>CP nhân viên KD</t>
        </is>
      </c>
      <c r="B20" s="8">
        <f> phần trăm kế hoạch (theo AOP) của chỉ tiêu 'CP nhân viên KD' × Doanh thu thực tế. Phần trăm kế hoạch lấy từ bản kế hoạch AOP (loại 'kế hoạch chi phí'), theo kỳ, cấp tập đoàn.</f>
        <v/>
      </c>
      <c r="C20" s="8" t="inlineStr">
        <is>
          <t>—</t>
        </is>
      </c>
      <c r="D20" s="8" t="inlineStr">
        <is>
          <t>Ước tính theo kế hoạch AOP — không phải chi phí thực phát sinh.</t>
        </is>
      </c>
      <c r="E20" s="8">
        <f> phần trăm kế hoạch (theo AOP, loại 'kế hoạch chi phí') của chỉ tiêu 'CP nhân viên KD' × Doanh thu thực tế (lũy kế tới ngày được chọn, cùng kỳ với cột 'Giá trị thực tế'). Phần trăm kế hoạch lấy từ bản kế hoạch AOP loại 'kế hoạch chi phí', theo kỳ (tháng), cấp tập đoàn.</f>
        <v/>
      </c>
      <c r="F20" s="8" t="inlineStr">
        <is>
          <t>—</t>
        </is>
      </c>
      <c r="G20" s="8" t="inlineStr">
        <is>
          <t>Ước tính theo kế hoạch AOP — không phải chi phí thực phát sinh. (% là tỷ lệ kế hoạch CHI PHÍ, khác với kế hoạch doanh số.)</t>
        </is>
      </c>
      <c r="H20" s="8" t="inlineStr"/>
    </row>
    <row r="21">
      <c r="A21" s="7" t="inlineStr">
        <is>
          <t>CP roadshow hội nghị</t>
        </is>
      </c>
      <c r="B21" s="8">
        <f> phần trăm kế hoạch (theo AOP) của chỉ tiêu 'CP roadshow hội nghị' × Doanh thu thực tế.</f>
        <v/>
      </c>
      <c r="C21" s="8" t="inlineStr">
        <is>
          <t>—</t>
        </is>
      </c>
      <c r="D21" s="8" t="inlineStr">
        <is>
          <t>Ước tính theo kế hoạch AOP — không phải chi phí thực phát sinh.</t>
        </is>
      </c>
      <c r="E21" s="8">
        <f> phần trăm kế hoạch (theo AOP, loại 'kế hoạch chi phí') của chỉ tiêu 'CP roadshow hội nghị' × Doanh thu thực tế (lũy kế tới ngày được chọn). Phần trăm kế hoạch lấy từ bản kế hoạch AOP loại 'kế hoạch chi phí', theo kỳ (tháng), cấp tập đoàn.</f>
        <v/>
      </c>
      <c r="F21" s="8" t="inlineStr">
        <is>
          <t>—</t>
        </is>
      </c>
      <c r="G21" s="8" t="inlineStr">
        <is>
          <t>Ước tính theo kế hoạch AOP — không phải chi phí thực phát sinh. Mức chi tiết đồng bộ với dòng 'CP nhân viên KD'.</t>
        </is>
      </c>
      <c r="H21" s="8" t="inlineStr"/>
    </row>
    <row r="22">
      <c r="A22" s="7" t="inlineStr">
        <is>
          <t>CP công tác tiếp khách KD</t>
        </is>
      </c>
      <c r="B22" s="8">
        <f> phần trăm kế hoạch (theo AOP) của chỉ tiêu 'CP công tác tiếp khách KD' × Doanh thu thực tế.</f>
        <v/>
      </c>
      <c r="C22" s="8" t="inlineStr">
        <is>
          <t>—</t>
        </is>
      </c>
      <c r="D22" s="8" t="inlineStr">
        <is>
          <t>Ước tính theo kế hoạch AOP — không phải chi phí thực phát sinh.</t>
        </is>
      </c>
      <c r="E22" s="8">
        <f> phần trăm kế hoạch (theo AOP, loại 'kế hoạch chi phí') của chỉ tiêu 'CP công tác tiếp khách KD' × Doanh thu thực tế (lũy kế tới ngày được chọn). Phần trăm kế hoạch lấy từ bản kế hoạch AOP loại 'kế hoạch chi phí', theo kỳ (tháng), cấp tập đoàn.</f>
        <v/>
      </c>
      <c r="F22" s="8" t="inlineStr">
        <is>
          <t>—</t>
        </is>
      </c>
      <c r="G22" s="8" t="inlineStr">
        <is>
          <t>Ước tính theo kế hoạch AOP — không phải chi phí thực phát sinh. Mức chi tiết đồng bộ với các dòng %AOP khác.</t>
        </is>
      </c>
      <c r="H22" s="8" t="inlineStr"/>
    </row>
    <row r="23">
      <c r="A23" s="7" t="inlineStr">
        <is>
          <t>Lợi nhuận gộp Kinh doanh</t>
        </is>
      </c>
      <c r="B23" s="8">
        <f> Lợi nhuận gộp − CP chiết khấu khuyến mại − CP nhân viên KD − CP roadshow hội nghị − CP công tác tiếp khách KD.</f>
        <v/>
      </c>
      <c r="C23" s="8" t="inlineStr">
        <is>
          <t>—</t>
        </is>
      </c>
      <c r="D23" s="8" t="inlineStr">
        <is>
          <t>Trong đó CP nhân viên KD / roadshow / công tác là ước tính theo AOP.</t>
        </is>
      </c>
      <c r="E23" s="8" t="inlineStr">
        <is>
          <t>(Giữ nguyên)</t>
        </is>
      </c>
      <c r="F23" s="8" t="inlineStr">
        <is>
          <t>(Giữ nguyên)</t>
        </is>
      </c>
      <c r="G23" s="8" t="inlineStr">
        <is>
          <t>(Giữ nguyên)</t>
        </is>
      </c>
      <c r="H23" s="8" t="inlineStr"/>
    </row>
    <row r="24">
      <c r="A24" s="7" t="inlineStr">
        <is>
          <t>CP xúc tiến bán hàng</t>
        </is>
      </c>
      <c r="B24" s="8">
        <f> (số thứ tự ngày trong tháng của ngày được chọn — ví dụ chọn 16/05 → 16) × (định mức chi phí xúc tiến của THÁNG theo kế hoạch ÷ 30). Mẫu số 30 là quy ước cố định (luôn 30, không đổi theo số ngày thực của tháng). Định mức lấy từ kế hoạch AOP chỉ tiêu 'CP xúc tiến bán hàng', cấp tập đoàn.</f>
        <v/>
      </c>
      <c r="C24" s="8" t="inlineStr">
        <is>
          <t>—</t>
        </is>
      </c>
      <c r="D24" s="8" t="inlineStr">
        <is>
          <t>Ước tính theo kế hoạch AOP — không phải chi phí thực phát sinh.</t>
        </is>
      </c>
      <c r="E24" s="8">
        <f> (số thứ tự ngày trong tháng của ngày được chọn — ví dụ chọn 16/05 → 16) × (định mức chi phí xúc tiến của THÁNG theo kế hoạch ÷ 30). Mẫu số 30 là quy ước cố định (luôn 30, KHÔNG đổi theo số ngày thực của tháng). Định mức lấy từ kế hoạch AOP chỉ tiêu 'CP xúc tiến bán hàng', cấp tập đoàn. Hệ số 'số ngày' này độc lập với cơ chế lũy kế doanh thu (hai cơ chế khác nhau trong cùng báo cáo).</f>
        <v/>
      </c>
      <c r="F24" s="8" t="inlineStr">
        <is>
          <t>—</t>
        </is>
      </c>
      <c r="G24" s="8" t="inlineStr">
        <is>
          <t>Ước tính theo kế hoạch AOP — không phải chi phí thực phát sinh. Nếu tháng đó không có định mức kế hoạch → chi phí = 0 (đồng bộ với các dòng theo-định-mức khác). Vào ngày 31 (tháng 31 ngày), hệ số 31/30 cho kết quả vượt định mức cả tháng (&gt;100%) — đây là chủ ý của quy ước chia đều 30.</t>
        </is>
      </c>
      <c r="H24" s="8" t="inlineStr"/>
    </row>
    <row r="25">
      <c r="A25" s="7" t="inlineStr">
        <is>
          <t>Lợi nhuận xúc tiến bán hàng</t>
        </is>
      </c>
      <c r="B25" s="8">
        <f> Lợi nhuận gộp Kinh doanh − CP xúc tiến bán hàng.</f>
        <v/>
      </c>
      <c r="C25" s="8" t="inlineStr">
        <is>
          <t>—</t>
        </is>
      </c>
      <c r="D25" s="8" t="inlineStr"/>
      <c r="E25" s="8" t="inlineStr">
        <is>
          <t>(Giữ nguyên)</t>
        </is>
      </c>
      <c r="F25" s="8" t="inlineStr">
        <is>
          <t>(Giữ nguyên)</t>
        </is>
      </c>
      <c r="G25" s="8" t="inlineStr">
        <is>
          <t>(Giữ nguyên)</t>
        </is>
      </c>
      <c r="H25" s="8" t="inlineStr"/>
    </row>
    <row r="26">
      <c r="A26" s="7" t="inlineStr">
        <is>
          <t>CP nhân viên BO</t>
        </is>
      </c>
      <c r="B26" s="8">
        <f> (số thứ tự ngày trong tháng của ngày được chọn) × (định mức chi phí nhân viên back-office của THÁNG theo kế hoạch ÷ 30). Mẫu số 30 cố định. Định mức lấy từ kế hoạch AOP chỉ tiêu 'CP nhân viên BO', cấp tập đoàn. Nếu tháng đó không có định mức → 0.</f>
        <v/>
      </c>
      <c r="C26" s="8" t="inlineStr">
        <is>
          <t>—</t>
        </is>
      </c>
      <c r="D26" s="8" t="inlineStr">
        <is>
          <t>Ước tính theo kế hoạch AOP — không phải chi phí thực phát sinh.</t>
        </is>
      </c>
      <c r="E26" s="8">
        <f> (số thứ tự ngày trong tháng của ngày được chọn) × (định mức chi phí nhân viên back-office của THÁNG theo kế hoạch ÷ 30). Mẫu số 30 cố định (không đổi theo số ngày thực của tháng). Định mức lấy từ kế hoạch AOP chỉ tiêu 'CP nhân viên BO', cấp tập đoàn. Nếu tháng đó không có định mức → 0.</f>
        <v/>
      </c>
      <c r="F26" s="8" t="inlineStr">
        <is>
          <t>—</t>
        </is>
      </c>
      <c r="G26" s="8" t="inlineStr">
        <is>
          <t>Ước tính theo kế hoạch AOP — không phải chi phí thực phát sinh. 'BO' = back-office (bộ phận hỗ trợ, không trực tiếp bán hàng). Cùng quy ước mẫu số 30 / hệ số ngày như dòng 'CP xúc tiến bán hàng'.</t>
        </is>
      </c>
      <c r="H26" s="8" t="inlineStr"/>
    </row>
    <row r="27">
      <c r="A27" s="7" t="inlineStr">
        <is>
          <t>Lợi nhuận nhân viên</t>
        </is>
      </c>
      <c r="B27" s="8">
        <f> Lợi nhuận xúc tiến bán hàng − CP nhân viên BO.</f>
        <v/>
      </c>
      <c r="C27" s="8" t="inlineStr">
        <is>
          <t>—</t>
        </is>
      </c>
      <c r="D27" s="8" t="inlineStr"/>
      <c r="E27" s="8" t="inlineStr">
        <is>
          <t>(Giữ nguyên)</t>
        </is>
      </c>
      <c r="F27" s="8" t="inlineStr">
        <is>
          <t>(Giữ nguyên)</t>
        </is>
      </c>
      <c r="G27" s="8" t="inlineStr">
        <is>
          <t>(Giữ nguyên)</t>
        </is>
      </c>
      <c r="H27" s="8" t="inlineStr"/>
    </row>
    <row r="28">
      <c r="A28" s="7" t="inlineStr">
        <is>
          <t>CP quản lý vận hành</t>
        </is>
      </c>
      <c r="B28" s="8" t="inlineStr">
        <is>
          <t>Dòng tổng hợp = CP vận chuyển + CP bảo hành + CP tài chính + CP dự phòng tồn kho thanh lý + CP khác (5 thành phần xem các dòng tương ứng bên dưới).</t>
        </is>
      </c>
      <c r="C28" s="8" t="inlineStr">
        <is>
          <t>—</t>
        </is>
      </c>
      <c r="D28" s="8" t="inlineStr">
        <is>
          <t>Các thành phần là chi phí ước tính theo AOP / định mức.</t>
        </is>
      </c>
      <c r="E28" s="8" t="inlineStr">
        <is>
          <t>Dòng tổng hợp = TỔNG ĐÚNG 5 thành phần: CP vận chuyển + CP bảo hành + CP tài chính + CP dự phòng tồn kho thanh lý + CP khác. Cơ sở tính của các thành phần KHÁC nhau: 3 thành phần (CP vận chuyển, CP bảo hành, CP tài chính) = %AOP (kế hoạch chi phí) × Doanh thu thực tế; 'CP khác' = số ngày × định mức tháng ÷ 30; 'CP dự phòng tồn kho thanh lý' = 1,5% × Doanh thu thực tế. 'Lợi nhuận quản lý vận hành' chỉ trừ tổng này 1 lần.</t>
        </is>
      </c>
      <c r="F28" s="8" t="inlineStr">
        <is>
          <t>—</t>
        </is>
      </c>
      <c r="G28" s="8" t="inlineStr">
        <is>
          <t>Các thành phần là chi phí ước tính theo AOP / định mức. 'CP dự phòng tồn kho thanh lý' (dù đặt cuối bảng) chính là 1 trong 5 thành phần của dòng này — không phải chỉ tiêu khác. Để dễ đối chiếu, nên đặt các dòng thành phần liền kề hoặc tham chiếu số No.</t>
        </is>
      </c>
      <c r="H28" s="8" t="inlineStr"/>
    </row>
    <row r="29">
      <c r="A29" s="7" t="inlineStr">
        <is>
          <t>CP vận chuyển</t>
        </is>
      </c>
      <c r="B29" s="8">
        <f> phần trăm kế hoạch (theo AOP) của chỉ tiêu 'CP vận chuyển' × Doanh thu thực tế.</f>
        <v/>
      </c>
      <c r="C29" s="8" t="inlineStr">
        <is>
          <t>—</t>
        </is>
      </c>
      <c r="D29" s="8" t="inlineStr">
        <is>
          <t>Ước tính theo kế hoạch AOP — không phải chi phí thực phát sinh.</t>
        </is>
      </c>
      <c r="E29" s="8">
        <f> phần trăm kế hoạch (theo AOP, loại 'kế hoạch chi phí') của chỉ tiêu 'CP vận chuyển' × Doanh thu thực tế (lũy kế tới ngày được chọn). Phần trăm kế hoạch lấy từ kế hoạch AOP loại 'kế hoạch chi phí', theo kỳ (tháng), cấp tập đoàn.</f>
        <v/>
      </c>
      <c r="F29" s="8" t="inlineStr">
        <is>
          <t>—</t>
        </is>
      </c>
      <c r="G29" s="8" t="inlineStr">
        <is>
          <t>Ước tính theo kế hoạch AOP — không phải chi phí thực phát sinh. Là 1 trong 5 thành phần của 'CP quản lý vận hành'.</t>
        </is>
      </c>
      <c r="H29" s="8" t="inlineStr"/>
    </row>
    <row r="30">
      <c r="A30" s="7" t="inlineStr">
        <is>
          <t>CP bảo hành</t>
        </is>
      </c>
      <c r="B30" s="8">
        <f> phần trăm kế hoạch (theo AOP) của chỉ tiêu 'CP bảo hành' × Doanh thu thực tế.</f>
        <v/>
      </c>
      <c r="C30" s="8" t="inlineStr">
        <is>
          <t>—</t>
        </is>
      </c>
      <c r="D30" s="8" t="inlineStr">
        <is>
          <t>Ước tính theo kế hoạch AOP — không phải chi phí thực phát sinh.</t>
        </is>
      </c>
      <c r="E30" s="8">
        <f> phần trăm kế hoạch (theo AOP, loại 'kế hoạch chi phí') của chỉ tiêu 'CP bảo hành' × Doanh thu thực tế (lũy kế tới ngày được chọn). Phần trăm kế hoạch lấy từ kế hoạch AOP loại 'kế hoạch chi phí', theo kỳ (tháng), cấp tập đoàn.</f>
        <v/>
      </c>
      <c r="F30" s="8" t="inlineStr">
        <is>
          <t>—</t>
        </is>
      </c>
      <c r="G30" s="8" t="inlineStr">
        <is>
          <t>Ước tính theo kế hoạch AOP — không phải chi phí thực phát sinh. Là 1 trong 5 thành phần của 'CP quản lý vận hành'.</t>
        </is>
      </c>
      <c r="H30" s="8" t="inlineStr"/>
    </row>
    <row r="31">
      <c r="A31" s="7" t="inlineStr">
        <is>
          <t>CP tài chính</t>
        </is>
      </c>
      <c r="B31" s="8">
        <f> phần trăm kế hoạch (theo AOP) của chỉ tiêu 'CP tài chính' × Doanh thu thực tế.</f>
        <v/>
      </c>
      <c r="C31" s="8" t="inlineStr">
        <is>
          <t>—</t>
        </is>
      </c>
      <c r="D31" s="8" t="inlineStr">
        <is>
          <t>Ước tính theo kế hoạch AOP — không phải chi phí thực phát sinh.</t>
        </is>
      </c>
      <c r="E31" s="8">
        <f> phần trăm kế hoạch (theo AOP, loại 'kế hoạch chi phí') của chỉ tiêu 'CP tài chính' × Doanh thu thực tế (lũy kế tới ngày được chọn). Phần trăm kế hoạch lấy từ kế hoạch AOP loại 'kế hoạch chi phí', theo kỳ (tháng), cấp tập đoàn.</f>
        <v/>
      </c>
      <c r="F31" s="8" t="inlineStr">
        <is>
          <t>—</t>
        </is>
      </c>
      <c r="G31" s="8" t="inlineStr">
        <is>
          <t>Ước tính theo kế hoạch AOP — không phải chi phí lãi vay thực tế. Là 1 trong 5 thành phần của 'CP quản lý vận hành'.</t>
        </is>
      </c>
      <c r="H31" s="8" t="inlineStr"/>
    </row>
    <row r="32">
      <c r="A32" s="7" t="inlineStr">
        <is>
          <t>CP khác</t>
        </is>
      </c>
      <c r="B32" s="8">
        <f> (số thứ tự ngày trong tháng của ngày được chọn) × (định mức 'chi phí khác' của THÁNG theo kế hoạch ÷ 30). Mẫu số 30 cố định.</f>
        <v/>
      </c>
      <c r="C32" s="8" t="inlineStr">
        <is>
          <t>—</t>
        </is>
      </c>
      <c r="D32" s="8" t="inlineStr">
        <is>
          <t>Ước tính theo kế hoạch AOP — không phải chi phí thực phát sinh.</t>
        </is>
      </c>
      <c r="E32" s="8">
        <f> (số thứ tự ngày trong tháng của ngày được chọn) × (định mức 'chi phí khác' của THÁNG theo kế hoạch ÷ 30). Mẫu số 30 cố định (không đổi theo số ngày thực của tháng). Định mức lấy từ kế hoạch AOP chỉ tiêu 'CP khác', cấp tập đoàn. Nếu tháng đó không có định mức → 0.</f>
        <v/>
      </c>
      <c r="F32" s="8" t="inlineStr">
        <is>
          <t>—</t>
        </is>
      </c>
      <c r="G32" s="8" t="inlineStr">
        <is>
          <t>Ước tính theo kế hoạch AOP — không phải chi phí thực phát sinh. 'CP khác' ở đây là CHI PHÍ (1 trong 5 thành phần của 'CP quản lý vận hành'), khác hẳn 'Thu nhập khác' và 'ngành Khác' trong cùng báo cáo. Cùng quy ước mẫu số 30 / hệ số ngày như các dòng theo-ngày khác.</t>
        </is>
      </c>
      <c r="H32" s="8" t="inlineStr"/>
    </row>
    <row r="33">
      <c r="A33" s="7" t="inlineStr">
        <is>
          <t>Thu nhập khác</t>
        </is>
      </c>
      <c r="B33" s="8" t="inlineStr">
        <is>
          <t>Doanh thu thuần của các dòng thuộc ngành 'Khác', lũy kế đến ngày chọn. Ngành 'Khác' = phần ngoài 4 ngành hàng chính (Water care, Home care, Cold &amp; Hygiene care, Sanitary care). Ngành của mỗi dòng xác định theo phân loại ngành (CLASS) ghi trên dòng hóa đơn tại thời điểm phát sinh.</t>
        </is>
      </c>
      <c r="C33" s="8" t="inlineStr">
        <is>
          <t>Cùng phạm vi với Doanh thu.</t>
        </is>
      </c>
      <c r="D33" s="8" t="inlineStr">
        <is>
          <t>Phần doanh thu ngành Khác này được CỘNG vào khi tính 'Lợi nhuận quản lý vận hành'.</t>
        </is>
      </c>
      <c r="E33" s="8" t="inlineStr">
        <is>
          <t>Doanh thu thuần của các dòng thuộc ngành 'Khác', lũy kế đến ngày chọn (chưa trừ giá vốn/chi phí của ngành Khác). Ngành 'Khác' = phần ngoài 4 ngành hàng chính (Water care, Home care, Cold &amp; Hygiene care, Sanitary care). Ngành của mỗi dòng xác định theo phân loại ngành (CLASS = mã ngành ghi trên dòng hóa đơn) tại thời điểm phát sinh.</t>
        </is>
      </c>
      <c r="F33" s="8" t="inlineStr">
        <is>
          <t>Cùng phạm vi với Doanh thu.</t>
        </is>
      </c>
      <c r="G33" s="8" t="inlineStr">
        <is>
          <t>Doanh thu (tổng) ĐÃ bao gồm ngành Khác. Theo công thức live, khoản 'Thu nhập khác' này được CỘNG vào khi tính 'Lợi nhuận quản lý vận hành' — KGR xác nhận đây là chủ ý báo cáo (không tính trùng). 4 ngành chính: Water care, Home care, Cold &amp; Hygiene care, Sanitary care; 'CLASS' = mã phân loại ngành trên dòng hóa đơn.</t>
        </is>
      </c>
      <c r="H33" s="8" t="inlineStr"/>
    </row>
    <row r="34">
      <c r="A34" s="7" t="inlineStr">
        <is>
          <t>Lợi nhuận quản lý vận hành</t>
        </is>
      </c>
      <c r="B34" s="8">
        <f> Lợi nhuận nhân viên − CP quản lý vận hành + Thu nhập khác.</f>
        <v/>
      </c>
      <c r="C34" s="8" t="inlineStr">
        <is>
          <t>—</t>
        </is>
      </c>
      <c r="D34" s="8" t="inlineStr"/>
      <c r="E34" s="8">
        <f> Lợi nhuận nhân viên − CP quản lý vận hành + Thu nhập khác. Trong đó 'CP quản lý vận hành' là tổng đúng 5 thành phần chi phí (chỉ trừ 1 lần) và 'Thu nhập khác' là doanh thu thuần ngành Khác cộng vào.</f>
        <v/>
      </c>
      <c r="F34" s="8" t="inlineStr">
        <is>
          <t>—</t>
        </is>
      </c>
      <c r="G34" s="8" t="inlineStr">
        <is>
          <t>'Thu nhập khác' cộng vào là doanh thu thuần ngành Khác (CHƯA trừ giá vốn/chi phí của ngành Khác) — tức một khoản gross cộng vào chuỗi lợi nhuận (net) theo chủ ý báo cáo. Doanh thu tổng đã gồm ngành Khác; KGR xác nhận cơ chế này không gây trùng.</t>
        </is>
      </c>
      <c r="H34" s="8" t="inlineStr"/>
    </row>
    <row r="35">
      <c r="A35" s="7" t="inlineStr">
        <is>
          <t>CP dự phòng hoạt động năm trước</t>
        </is>
      </c>
      <c r="B35" s="8">
        <f> 21% × Lợi nhuận quản lý vận hành.</f>
        <v/>
      </c>
      <c r="C35" s="8" t="inlineStr">
        <is>
          <t>—</t>
        </is>
      </c>
      <c r="D35" s="8" t="inlineStr">
        <is>
          <t>Định mức 21% cố định; áp trên Lợi nhuận quản lý vận hành của KỲ HIỆN TẠI (tên dòng theo nhãn báo cáo).</t>
        </is>
      </c>
      <c r="E35" s="8">
        <f> 21% × Lợi nhuận quản lý vận hành của KỲ HIỆN TẠI (lũy kế tới ngày được chọn). 21% là định mức cố định.</f>
        <v/>
      </c>
      <c r="F35" s="8" t="inlineStr">
        <is>
          <t>—</t>
        </is>
      </c>
      <c r="G35" s="8" t="inlineStr">
        <is>
          <t>Định mức 21% cố định, áp trên Lợi nhuận quản lý vận hành của KỲ HIỆN TẠI (KHÔNG phải số của năm trước) — tên dòng 'năm trước' chỉ theo nhãn báo cáo, dễ gây hiểu nhầm về kỳ. KGR xác nhận nguồn/cơ sở của hệ số 21% và cân nhắc đổi nhãn cho khớp bản chất.</t>
        </is>
      </c>
      <c r="H35" s="8" t="inlineStr"/>
    </row>
    <row r="36">
      <c r="A36" s="7" t="inlineStr">
        <is>
          <t>Lợi nhuận trước thuế</t>
        </is>
      </c>
      <c r="B36" s="8">
        <f> Lợi nhuận quản lý vận hành − CP dự phòng hoạt động năm trước.</f>
        <v/>
      </c>
      <c r="C36" s="8" t="inlineStr">
        <is>
          <t>—</t>
        </is>
      </c>
      <c r="D36" s="8" t="inlineStr"/>
      <c r="E36" s="8" t="inlineStr">
        <is>
          <t>(Giữ nguyên)</t>
        </is>
      </c>
      <c r="F36" s="8" t="inlineStr">
        <is>
          <t>(Giữ nguyên)</t>
        </is>
      </c>
      <c r="G36" s="8" t="inlineStr">
        <is>
          <t>(Giữ nguyên)</t>
        </is>
      </c>
      <c r="H36" s="8" t="inlineStr"/>
    </row>
    <row r="37">
      <c r="A37" s="7" t="inlineStr">
        <is>
          <t>Lợi nhuận sau thuế</t>
        </is>
      </c>
      <c r="B37" s="8">
        <f> Nếu Lợi nhuận trước thuế &gt; 0 thì giữ lại 80% (× 0,8); nếu ≤ 0 thì giữ nguyên.</f>
        <v/>
      </c>
      <c r="C37" s="8" t="inlineStr">
        <is>
          <t>—</t>
        </is>
      </c>
      <c r="D37" s="8" t="inlineStr">
        <is>
          <t>Giữ lại 80% là QUY ƯỚC cố định trong báo cáo (không phải thuế suất thuế TNDN thực).</t>
        </is>
      </c>
      <c r="E37" s="8">
        <f> Nếu Lợi nhuận trước thuế &gt; 0 thì giữ lại 80% (× 0,8); nếu ≤ 0 thì giữ nguyên. (Tại Lợi nhuận trước thuế = 0, cả hai nhánh đều cho 0; không có vùng xử lý khác.)</f>
        <v/>
      </c>
      <c r="F37" s="8" t="inlineStr">
        <is>
          <t>—</t>
        </is>
      </c>
      <c r="G37" s="8" t="inlineStr">
        <is>
          <t>Giữ lại 80% là QUY ƯỚC cố định trong báo cáo, KHÔNG phải thuế suất thuế TNDN thực — tên dòng 'sau thuế' dễ gây hiểu nhầm là đã trừ thuế TNDN. Cân nhắc thêm chú thích ngay tại tên dòng để tránh hiểu nhầm; KGR xác nhận.</t>
        </is>
      </c>
      <c r="H37" s="8" t="inlineStr"/>
    </row>
    <row r="38">
      <c r="A38" s="7" t="inlineStr">
        <is>
          <t>Tỷ lệ Xanh/Đỏ</t>
        </is>
      </c>
      <c r="B38" s="8" t="inlineStr">
        <is>
          <t>Giá trị gốc = Doanh số nhóm Xanh ÷ Doanh số nhóm Đỏ (nếu Đỏ = 0 → để trống). Trên báo cáo, cột 'Giá trị thực tế' quy đổi thành % doanh số Xanh = Doanh số Xanh ÷ (Doanh số Xanh + Doanh số Đỏ) × 100.</t>
        </is>
      </c>
      <c r="C38" s="8" t="inlineStr">
        <is>
          <t>Chỉ sản phẩm có phân loại Xanh/Đỏ (mỗi SP luôn thuộc 1 trong 2).</t>
        </is>
      </c>
      <c r="D38" s="8" t="inlineStr"/>
      <c r="E38" s="8" t="inlineStr">
        <is>
          <t>Giá trị gốc = Doanh số nhóm Xanh ÷ Doanh số nhóm Đỏ (tỷ số; nếu Đỏ = 0 → để trống). Trên báo cáo, cột 'Giá trị thực tế' KHÔNG hiển thị tỷ số này mà quy đổi thành % doanh số Xanh = Doanh số Xanh ÷ (Doanh số Xanh + Doanh số Đỏ) × 100 (khi Đỏ = 0 → 100%, không để trống).</t>
        </is>
      </c>
      <c r="F38" s="8" t="inlineStr">
        <is>
          <t>Chỉ sản phẩm có phân loại Xanh/Đỏ (mỗi sản phẩm luôn thuộc đúng 1 trong 2 nhóm).</t>
        </is>
      </c>
      <c r="G38" s="8" t="inlineStr">
        <is>
          <t>Hai con số khác nhau cho cùng một dòng: 'Giá trị gốc' là tỷ số Xanh/Đỏ, còn cột 'Giá trị thực tế' hiển thị % doanh số Xanh — cần phân biệt rõ con số nào hiển thị ở đâu, và lưu ý cách xử lý Đỏ = 0 khác nhau giữa hai cách (tỷ số → trống; % → 100%). KGR xác nhận 'Doanh số' dùng cho Xanh/Đỏ là Doanh số (+VAT) hay Doanh thu thuần, và giá trị thật hiển thị trên cột 'Giá trị thực tế'. Đồng bộ với Glossary 'Tỷ lệ Xanh/Đỏ'.</t>
        </is>
      </c>
      <c r="H38" s="8" t="inlineStr"/>
    </row>
    <row r="39">
      <c r="A39" s="7" t="inlineStr">
        <is>
          <t>CP dự phòng tồn kho thanh lý</t>
        </is>
      </c>
      <c r="B39" s="8">
        <f> 1,5% × Doanh thu thực tế.</f>
        <v/>
      </c>
      <c r="C39" s="8" t="inlineStr">
        <is>
          <t>—</t>
        </is>
      </c>
      <c r="D39" s="8" t="inlineStr">
        <is>
          <t>Định mức 1,5% cố định; là một thành phần của 'CP quản lý vận hành'.</t>
        </is>
      </c>
      <c r="E39" s="8">
        <f> 1,5% × Doanh thu thực tế (lũy kế tới ngày được chọn). 1,5% là định mức cố định.</f>
        <v/>
      </c>
      <c r="F39" s="8" t="inlineStr">
        <is>
          <t>—</t>
        </is>
      </c>
      <c r="G39" s="8" t="inlineStr">
        <is>
          <t>Đây là 1 trong 5 thành phần của 'CP quản lý vận hành'; dù đặt cuối bảng vẫn được cộng vào tổng đó (không tính trùng ở chỗ khác). Cân nhắc đặt liền kề các thành phần kia hoặc tham chiếu số No. KGR xác nhận nguồn/cơ sở của hệ số 1,5%.</t>
        </is>
      </c>
      <c r="H39" s="8" t="inlineStr"/>
    </row>
  </sheetData>
  <mergeCells count="2">
    <mergeCell ref="A3:H3"/>
    <mergeCell ref="A13:H13"/>
  </mergeCells>
  <dataValidations count="1">
    <dataValidation sqref="H4:H4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pane ySplit="2" topLeftCell="A3" activePane="bottomLeft" state="frozen"/>
      <selection pane="bottomLeft" activeCell="A1" sqref="A1"/>
    </sheetView>
  </sheetViews>
  <sheetFormatPr baseColWidth="8" defaultRowHeight="15"/>
  <cols>
    <col width="24" customWidth="1" min="1" max="1"/>
    <col width="48" customWidth="1" min="2" max="2"/>
    <col width="30" customWidth="1" min="3" max="3"/>
    <col width="24" customWidth="1" min="4" max="4"/>
    <col width="48" customWidth="1" min="5" max="5"/>
    <col width="30" customWidth="1" min="6" max="6"/>
    <col width="24" customWidth="1" min="7" max="7"/>
    <col width="12" customWidth="1" min="8" max="8"/>
  </cols>
  <sheetData>
    <row r="1">
      <c r="A1" s="4" t="inlineStr">
        <is>
          <t>(KGR) BRD.BC01_Daily_Summary v1.1 · BC01_Summary_Ngành · 4 pivot theo ngành: HOME / WATER / COLD &amp; HYGEN / SANITARY CARE — mỗi pivot áp đúng công thức dưới đây, LỌC THEO NGÀNH tương ứng</t>
        </is>
      </c>
    </row>
    <row r="3">
      <c r="A3" s="5" t="inlineStr">
        <is>
          <t>A. Các CỘT giá trị</t>
        </is>
      </c>
    </row>
    <row r="4" ht="28" customHeight="1">
      <c r="A4" s="6" t="inlineStr">
        <is>
          <t>Cột / Chỉ tiêu</t>
        </is>
      </c>
      <c r="B4" s="6" t="inlineStr">
        <is>
          <t>Cách tính (logic nghiệp vụ)</t>
        </is>
      </c>
      <c r="C4" s="6" t="inlineStr">
        <is>
          <t>Loại trừ / Bộ lọc</t>
        </is>
      </c>
      <c r="D4" s="6" t="inlineStr">
        <is>
          <t>Ghi chú</t>
        </is>
      </c>
      <c r="E4" s="6" t="inlineStr">
        <is>
          <t>Cách tính (QA)</t>
        </is>
      </c>
      <c r="F4" s="6" t="inlineStr">
        <is>
          <t>Loại trừ-Bộ lọc (QA)</t>
        </is>
      </c>
      <c r="G4" s="6" t="inlineStr">
        <is>
          <t>Ghi chú (QA)</t>
        </is>
      </c>
      <c r="H4" s="6" t="inlineStr">
        <is>
          <t>KGR xác nhận</t>
        </is>
      </c>
    </row>
    <row r="5">
      <c r="A5" s="7" t="inlineStr">
        <is>
          <t>No.</t>
        </is>
      </c>
      <c r="B5" s="8" t="inlineStr">
        <is>
          <t>Số thứ tự dòng chỉ tiêu (1→25), cố định; chỉ để sắp xếp.</t>
        </is>
      </c>
      <c r="C5" s="8" t="inlineStr">
        <is>
          <t>—</t>
        </is>
      </c>
      <c r="D5" s="8" t="inlineStr"/>
      <c r="E5" s="8" t="inlineStr">
        <is>
          <t>Số thứ tự dòng chỉ tiêu, cố định, chỉ dùng để sắp xếp hiển thị. Báo cáo có 25 dòng chỉ tiêu P&amp;L (như báo cáo cấp tập đoàn); trong đó 'CP quản lý vận hành' là DÒNG TỔNG của 5 dòng con (CP vận chuyển + CP bảo hành + CP tài chính + CP dự phòng tồn kho thanh lý + CP khác). Đánh số theo đúng thứ tự hiển thị trên pivot.</t>
        </is>
      </c>
      <c r="F5" s="8" t="inlineStr">
        <is>
          <t>—</t>
        </is>
      </c>
      <c r="G5" s="8" t="inlineStr">
        <is>
          <t>Dòng tổng 'CP quản lý vận hành' chiếm một số thứ tự riêng; 5 dòng con cũng có số thứ tự riêng nhưng chỉ là chi tiết của dòng tổng — không cộng trùng. Dòng 'CP dự phòng tồn kho thanh lý' hiện đặt ở cuối báo cáo nhưng bản chất là một trong 5 thành phần của 'CP quản lý vận hành'.</t>
        </is>
      </c>
      <c r="H5" s="8" t="inlineStr"/>
    </row>
    <row r="6">
      <c r="A6" s="7" t="inlineStr">
        <is>
          <t>Tên chỉ tiêu</t>
        </is>
      </c>
      <c r="B6" s="8" t="inlineStr">
        <is>
          <t>Nhãn chỉ tiêu của dòng; 25 chỉ tiêu P&amp;L cố định (như báo cáo tập đoàn).</t>
        </is>
      </c>
      <c r="C6" s="8" t="inlineStr">
        <is>
          <t>—</t>
        </is>
      </c>
      <c r="D6" s="8" t="inlineStr"/>
      <c r="E6" s="8" t="inlineStr">
        <is>
          <t>(Giữ nguyên)</t>
        </is>
      </c>
      <c r="F6" s="8" t="inlineStr">
        <is>
          <t>(Giữ nguyên)</t>
        </is>
      </c>
      <c r="G6" s="8" t="inlineStr">
        <is>
          <t>(Giữ nguyên)</t>
        </is>
      </c>
      <c r="H6" s="8" t="inlineStr"/>
    </row>
    <row r="7">
      <c r="A7" s="7" t="inlineStr">
        <is>
          <t>Doanh số AOP</t>
        </is>
      </c>
      <c r="B7" s="8" t="inlineStr">
        <is>
          <t>Giá trị KẾ HOẠCH (AOP) của chỉ tiêu cho RIÊNG ngành của pivot, trong kỳ (cấp ngành). Nếu chưa có kế hoạch → để trống.</t>
        </is>
      </c>
      <c r="C7" s="8" t="inlineStr">
        <is>
          <t>—</t>
        </is>
      </c>
      <c r="D7" s="8" t="inlineStr">
        <is>
          <t>Là số kế hoạch.</t>
        </is>
      </c>
      <c r="E7" s="8" t="inlineStr">
        <is>
          <t>Giá trị KẾ HOẠCH (AOP) của chỉ tiêu trên dòng, cho RIÊNG ngành của pivot. Đây là số kế hoạch CẢ THÁNG của kỳ, KHÔNG lũy kế theo ngày — khác với cột 'Giá trị thực tế' (lũy kế trong tháng đến ngày được chọn). Với dòng chi phí, đây là KẾ HOẠCH CHI PHÍ của dòng, KHÔNG phải doanh số. Chưa có kế hoạch → để trống.</t>
        </is>
      </c>
      <c r="F7" s="8" t="inlineStr">
        <is>
          <t>—</t>
        </is>
      </c>
      <c r="G7" s="8" t="inlineStr">
        <is>
          <t>Nhãn cột là 'Doanh số AOP' nhưng thực chất là giá trị kế hoạch (AOP) của chỉ tiêu — với dòng chi phí là kế hoạch chi phí, không phải doanh số; KGR nên xác nhận tên cột. Lưu ý khi so sánh: AOP là kế hoạch cả tháng, còn thực tế là lũy kế đến ngày chọn (xem cột 'Giá trị thiếu so với AOP').</t>
        </is>
      </c>
      <c r="H7" s="8" t="inlineStr"/>
    </row>
    <row r="8">
      <c r="A8" s="7" t="inlineStr">
        <is>
          <t>%/DS AOP</t>
        </is>
      </c>
      <c r="B8" s="8">
        <f> Giá trị kế hoạch của chỉ tiêu (ngành) ÷ Doanh số kế hoạch của ngành, ra %.</f>
        <v/>
      </c>
      <c r="C8" s="8" t="inlineStr">
        <is>
          <t>—</t>
        </is>
      </c>
      <c r="D8" s="8" t="inlineStr"/>
      <c r="E8" s="8">
        <f> Giá trị kế hoạch (AOP) của chỉ tiêu (ngành) ÷ Doanh số KẾ HOẠCH (AOP) của ngành, ra %. Mẫu số ở cột này là Doanh số kế hoạch (AOP) của ngành — KHÁC mẫu số của cột '%/ DS thực tế' (là Doanh thu thực tế thuần). Mẫu = 0 → để trống.</f>
        <v/>
      </c>
      <c r="F8" s="8" t="inlineStr">
        <is>
          <t>—</t>
        </is>
      </c>
      <c r="G8" s="8" t="inlineStr">
        <is>
          <t>Hai cột cùng mang chữ '%/DS' nhưng mẫu số khác bản chất: '%/DS AOP' chia cho Doanh số KẾ HOẠCH (AOP), còn '%/ DS thực tế' chia cho Doanh thu THỰC TẾ (thuần). Vì vậy không so trực tiếp %AOP với %thực tế nếu không để ý mẫu số — KGR nên xác nhận cách đặt tên và mẫu số cho cặp cột này.</t>
        </is>
      </c>
      <c r="H8" s="8" t="inlineStr"/>
    </row>
    <row r="9">
      <c r="A9" s="7" t="inlineStr">
        <is>
          <t>Giá trị thực tế</t>
        </is>
      </c>
      <c r="B9" s="8">
        <f> Giá trị thực tế của chỉ tiêu CHO RIÊNG NGÀNH (cách tính từng chỉ tiêu xem khối B), cộng dồn từ ĐẦU THÁNG đến ngày được chọn. RIÊNG dòng 'Tỷ lệ Xanh/Đỏ': hiển thị = % doanh số Xanh của ngành = DS Xanh ÷ (DS Xanh + DS Đỏ) × 100.</f>
        <v/>
      </c>
      <c r="C9" s="8" t="inlineStr">
        <is>
          <t>Lũy kế trong tháng (reset đầu tháng), đến ngày được chọn.</t>
        </is>
      </c>
      <c r="D9" s="8" t="inlineStr"/>
      <c r="E9" s="8">
        <f> Giá trị thực tế của chỉ tiêu CHO RIÊNG NGÀNH (cách tính từng chỉ tiêu xem khối B), LŨY KẾ TRONG THÁNG đến ngày được chọn (reset về 0 vào ngày đầu mỗi tháng). RIÊNG dòng 'Tỷ lệ Xanh/Đỏ': hiển thị = % doanh số Xanh của ngành = DS Xanh ÷ (DS Xanh + DS Đỏ) × 100.</f>
        <v/>
      </c>
      <c r="F9" s="8" t="inlineStr">
        <is>
          <t>Lũy kế trong THÁNG (reset đầu tháng), cộng dồn đến ngày được chọn — KHÔNG lũy kế từ đầu năm/quý.</t>
        </is>
      </c>
      <c r="G9" s="8" t="inlineStr">
        <is>
          <t>Thống nhất thuật ngữ: lũy kế reset theo THÁNG (đầu tháng → ngày được chọn). Mục 'Lũy kế (AsOfDate)' trong Glossary ghi 'đầu kỳ'; ở báo cáo này 'kỳ' = tháng, nên hiểu là 'đầu tháng' cho khớp.</t>
        </is>
      </c>
      <c r="H9" s="8" t="inlineStr"/>
    </row>
    <row r="10">
      <c r="A10" s="7" t="inlineStr">
        <is>
          <t>%/ DS thực tế</t>
        </is>
      </c>
      <c r="B10" s="8">
        <f> Giá trị thực tế của chỉ tiêu (ngành) ÷ Doanh thu thực tế của NGÀNH, ra %.</f>
        <v/>
      </c>
      <c r="C10" s="8" t="inlineStr">
        <is>
          <t>Không áp dụng 3 dòng: Doanh số (+VAT), Doanh thu, Tỷ lệ Xanh/Đỏ → để trống.</t>
        </is>
      </c>
      <c r="D10" s="8" t="inlineStr"/>
      <c r="E10" s="8">
        <f> Giá trị thực tế của chỉ tiêu (ngành) ÷ Doanh thu THỰC TẾ (thuần, chưa VAT) của NGÀNH, ra %. Mẫu số là Doanh thu thực tế thuần — KHÔNG phải Doanh số (+VAT). Mẫu = 0 → để trống.</f>
        <v/>
      </c>
      <c r="F10" s="8" t="inlineStr">
        <is>
          <t>Không áp dụng cho 3 dòng: 'Doanh số (+VAT)', 'Doanh thu', 'Tỷ lệ Xanh/Đỏ' → để trống.</t>
        </is>
      </c>
      <c r="G10" s="8" t="inlineStr">
        <is>
          <t>Nhãn cột dùng chữ 'DS' nhưng mẫu số thực tế là Doanh thu THUẦN (chưa VAT) — KGR nên xác nhận đổi tên cột thành '%/Doanh thu thực tế' để tránh hiểu nhầm mẫu là Doanh số (+VAT).</t>
        </is>
      </c>
      <c r="H10" s="8" t="inlineStr"/>
    </row>
    <row r="11">
      <c r="A11" s="7" t="inlineStr">
        <is>
          <t>Giá trị thiếu so với AOP</t>
        </is>
      </c>
      <c r="B11" s="8">
        <f> Doanh số AOP (kế hoạch của chỉ tiêu, ngành) − Giá trị thực tế (ngành). Dương = chưa đạt KH; dòng chi phí âm = chi vượt KH.</f>
        <v/>
      </c>
      <c r="C11" s="8" t="inlineStr">
        <is>
          <t>Không áp dụng dòng Tỷ lệ Xanh/Đỏ → để trống.</t>
        </is>
      </c>
      <c r="D11" s="8" t="inlineStr"/>
      <c r="E11" s="8">
        <f> Doanh số AOP (giá trị kế hoạch của chỉ tiêu, ngành — kế hoạch CẢ THÁNG) − Giá trị thực tế (ngành — lũy kế đến ngày chọn). Quy ước dấu theo 2 nhóm dòng: (a) dòng DOANH THU / LỢI NHUẬN: kết quả DƯƠNG = thực tế còn HỤT so với kế hoạch (chưa đạt); (b) dòng CHI PHÍ: kết quả ÂM = chi VƯỢT kế hoạch (thực tế &gt; kế hoạch), kết quả dương = chi DƯỚI kế hoạch. Ví dụ: dòng Doanh thu kế hoạch 100, thực tế 80 → +20 (hụt 20); dòng CP nhân viên KD kế hoạch 10, thực tế 13 → −3 (chi vượt 3).</f>
        <v/>
      </c>
      <c r="F11" s="8" t="inlineStr">
        <is>
          <t>Không áp dụng cho dòng 'Tỷ lệ Xanh/Đỏ' → để trống.</t>
        </is>
      </c>
      <c r="G11" s="8" t="inlineStr">
        <is>
          <t>AOP là kế hoạch CẢ THÁNG, còn thực tế là LŨY KẾ đến ngày chọn — hai mốc thời gian khác nhau. Con số 'thiếu' phản ánh chênh lệch giữa kế hoạch cả tháng và thực tế lũy kế (giảm dần khi gần cuối tháng); KGR cần hiểu cách so này.</t>
        </is>
      </c>
      <c r="H11" s="8" t="inlineStr"/>
    </row>
    <row r="12">
      <c r="A12" s="7" t="inlineStr">
        <is>
          <t>%/DS (Thiếu so với AOP)</t>
        </is>
      </c>
      <c r="B12" s="8">
        <f> (Doanh số AOP − Giá trị thực tế) (ngành) ÷ Doanh thu thực tế của ngành, ra %.</f>
        <v/>
      </c>
      <c r="C12" s="8" t="inlineStr">
        <is>
          <t>Không áp dụng 3 dòng: Doanh số (+VAT), Doanh thu, Tỷ lệ Xanh/Đỏ → để trống.</t>
        </is>
      </c>
      <c r="D12" s="8" t="inlineStr"/>
      <c r="E12" s="8">
        <f> (Doanh số AOP − Giá trị thực tế) của chỉ tiêu (ngành) ÷ Doanh thu THỰC TẾ (thuần, chưa VAT) của ngành, ra %. Mẫu số GIỐNG cột '%/ DS thực tế' (Doanh thu thực tế thuần), không phải Doanh số (+VAT). Mẫu = 0 → để trống.</f>
        <v/>
      </c>
      <c r="F12" s="8" t="inlineStr">
        <is>
          <t>Không áp dụng cho 3 dòng: 'Doanh số (+VAT)', 'Doanh thu', 'Tỷ lệ Xanh/Đỏ' → để trống.</t>
        </is>
      </c>
      <c r="G12" s="8" t="inlineStr">
        <is>
          <t>Đồng bộ với cột '%/ DS thực tế': nhãn dùng 'DS' nhưng mẫu là Doanh thu THUẦN — KGR nên xác nhận tên cột.</t>
        </is>
      </c>
      <c r="H12" s="8" t="inlineStr"/>
    </row>
    <row r="13">
      <c r="A13" s="5" t="inlineStr">
        <is>
          <t>B. Các DÒNG chỉ tiêu</t>
        </is>
      </c>
    </row>
    <row r="14" ht="28" customHeight="1">
      <c r="A14" s="6" t="inlineStr">
        <is>
          <t>Cột / Chỉ tiêu</t>
        </is>
      </c>
      <c r="B14" s="6" t="inlineStr">
        <is>
          <t>Cách tính (logic nghiệp vụ)</t>
        </is>
      </c>
      <c r="C14" s="6" t="inlineStr">
        <is>
          <t>Loại trừ / Bộ lọc</t>
        </is>
      </c>
      <c r="D14" s="6" t="inlineStr">
        <is>
          <t>Ghi chú</t>
        </is>
      </c>
      <c r="E14" s="6" t="inlineStr">
        <is>
          <t>Cách tính (QA)</t>
        </is>
      </c>
      <c r="F14" s="6" t="inlineStr">
        <is>
          <t>Loại trừ-Bộ lọc (QA)</t>
        </is>
      </c>
      <c r="G14" s="6" t="inlineStr">
        <is>
          <t>Ghi chú (QA)</t>
        </is>
      </c>
      <c r="H14" s="6" t="inlineStr">
        <is>
          <t>KGR xác nhận</t>
        </is>
      </c>
    </row>
    <row r="15">
      <c r="A15" s="7" t="inlineStr">
        <is>
          <t>Doanh số (+VAT)</t>
        </is>
      </c>
      <c r="B15" s="8" t="inlineStr">
        <is>
          <t>Doanh số bán hàng gồm thuế GTGT CỦA RIÊNG NGÀNH, lũy kế trong tháng đến ngày chọn. Mỗi dòng = doanh thu thuần + thuế GTGT đầu ra (theo số thuế ghi trên dòng hóa đơn). Hợp nhất hóa đơn (dấu +) và credit memo (dấu −).</t>
        </is>
      </c>
      <c r="C15" s="8" t="inlineStr">
        <is>
          <t>Lọc THEO NGÀNH của pivot (Home/Water/Cold&amp;Hygiene/Sanitary care); và phạm vi chung: chỉ 2 pháp nhân 'CTCP LD Kangaroo Quốc tế' (VU1) + 'Chi nhánh HCM'; chỉ giao dịch đã hạch toán; loại hàng thanh lý (HTL)/khách ký gửi/kênh nội bộ.</t>
        </is>
      </c>
      <c r="D15" s="8" t="inlineStr"/>
      <c r="E15" s="8" t="inlineStr">
        <is>
          <t>Doanh số bán hàng ĐÃ GỒM thuế GTGT (doanh số gộp) CỦA RIÊNG NGÀNH, lũy kế trong tháng đến ngày chọn. Mỗi dòng = doanh thu thuần + thuế GTGT đầu ra (theo số thuế ghi trên dòng hóa đơn). Hợp nhất hóa đơn bán (dấu +) và chứng từ điều chỉnh giảm/credit memo (dấu −).</t>
        </is>
      </c>
      <c r="F15" s="8" t="inlineStr">
        <is>
          <t>Lọc THEO NGÀNH của pivot — đúng 4 ngành chính: Water care, Home care, Cold &amp; Hygiene care, Sanitary care (ngành xác định theo phân loại ngành ghi trên dòng hóa đơn). Phạm vi chung: chỉ 2 pháp nhân 'CTCP LD Kangaroo Quốc tế' (VU1) + 'Chi nhánh HCM'; chỉ giao dịch ĐÃ hạch toán; loại hàng thanh lý (HTL); loại khách hàng được đánh dấu ký gửi; loại kênh nội bộ.</t>
        </is>
      </c>
      <c r="G15" s="8" t="inlineStr">
        <is>
          <t>Chuẩn hóa tên 4 ngành xuyên suốt: Water / Home / Cold &amp; Hygiene / Sanitary care. Nhãn 'COLD &amp; HYGEN' trên tiêu đề pivot là chính tả gốc của workbook live (giữ nguyên, hiểu là Cold &amp; Hygiene care). Ngành 'Khác' (ngoài 4 ngành chính) KHÔNG nằm trong Doanh số/Doanh thu của 4 pivot này — doanh thu ngành 'Khác' chỉ dùng cho dòng 'Thu nhập khác'.</t>
        </is>
      </c>
      <c r="H15" s="8" t="inlineStr"/>
    </row>
    <row r="16">
      <c r="A16" s="7" t="inlineStr">
        <is>
          <t>Doanh thu</t>
        </is>
      </c>
      <c r="B16" s="8" t="inlineStr">
        <is>
          <t>Doanh thu THUẦN (chưa VAT) của riêng ngành, lũy kế đến ngày chọn (hóa đơn − credit memo, doanh thu gốc đã trừ chiết khấu trên hóa đơn).</t>
        </is>
      </c>
      <c r="C16" s="8" t="inlineStr">
        <is>
          <t>Lọc THEO NGÀNH của pivot (Home/Water/Cold&amp;Hygiene/Sanitary care); và phạm vi chung: chỉ 2 pháp nhân 'CTCP LD Kangaroo Quốc tế' (VU1) + 'Chi nhánh HCM'; chỉ giao dịch đã hạch toán; loại hàng thanh lý (HTL)/khách ký gửi/kênh nội bộ.</t>
        </is>
      </c>
      <c r="D16" s="8" t="inlineStr"/>
      <c r="E16" s="8" t="inlineStr">
        <is>
          <t>(Giữ nguyên)</t>
        </is>
      </c>
      <c r="F16" s="8" t="inlineStr">
        <is>
          <t>(Giữ nguyên)</t>
        </is>
      </c>
      <c r="G16" s="8" t="inlineStr">
        <is>
          <t>(Giữ nguyên)</t>
        </is>
      </c>
      <c r="H16" s="8" t="inlineStr"/>
    </row>
    <row r="17">
      <c r="A17" s="7" t="inlineStr">
        <is>
          <t>Giá vốn</t>
        </is>
      </c>
      <c r="B17" s="8" t="inlineStr">
        <is>
          <t>Tổng giá vốn hàng bán của riêng ngành. Giá vốn 1 dòng = đơn giá vốn × |số lượng|; đơn giá theo 3 lớp: (1) 'Giá vốn mục tiêu' tra mã SP (MSP)+tháng; (2) thiếu → 'Giá vốn tồn kho' tra mã item+pháp nhân+kỳ; (3) thiếu → 50% doanh thu của dòng. Credit memo âm.</t>
        </is>
      </c>
      <c r="C17" s="8" t="inlineStr">
        <is>
          <t>Hàng tặng (DT=0)/dòng chiết khấu → 0; lọc theo ngành + phạm vi như Doanh thu.</t>
        </is>
      </c>
      <c r="D17" s="8" t="inlineStr"/>
      <c r="E17" s="8" t="inlineStr">
        <is>
          <t>Tổng giá vốn hàng bán của riêng ngành; tính từng dòng rồi cộng lại. Giá vốn 1 dòng theo 3 lớp ưu tiên đơn giá: (1) 'Giá vốn mục tiêu' — tra theo mã sản phẩm (MSP) + tháng giao dịch → đơn giá × |số lượng|; (2) nếu thiếu → 'Giá vốn tồn kho' — tra theo mã item + pháp nhân + kỳ → đơn giá × |số lượng|; (3) nếu vẫn thiếu → = 50% Doanh thu thực tế CỦA DÒNG (KHÔNG nhân |số lượng|). Quy ước dấu: chứng từ điều chỉnh giảm (credit memo) → kết quả mang dấu âm.</t>
        </is>
      </c>
      <c r="F17" s="8" t="inlineStr">
        <is>
          <t>Hàng tặng (doanh thu = 0) → giá vốn = 0; dòng chiết khấu (Discount) → giá vốn = 0. Lọc theo ngành và phạm vi như Doanh thu.</t>
        </is>
      </c>
      <c r="G17" s="8" t="inlineStr">
        <is>
          <t>Lớp 3 ('dự phòng' theo Glossary) = 50% Doanh thu thực tế của dòng, là quy ước CỐ ĐỊNH và KHÔNG nhân |số lượng| (khác lớp 1 và 2). Nên sửa mục 'Giá vốn' lớp 3 trong Glossary thành '50% doanh thu của dòng (dự phòng)' cho khớp dòng B.</t>
        </is>
      </c>
      <c r="H17" s="8" t="inlineStr"/>
    </row>
    <row r="18">
      <c r="A18" s="7" t="inlineStr">
        <is>
          <t>Lợi nhuận gộp</t>
        </is>
      </c>
      <c r="B18" s="8">
        <f> Doanh thu (ngành) − Giá vốn (ngành). Là hiệu của 2 tổng cấp ngành — không khớp lại theo từng dòng hóa đơn.</f>
        <v/>
      </c>
      <c r="C18" s="8" t="inlineStr">
        <is>
          <t>—</t>
        </is>
      </c>
      <c r="D18" s="8" t="inlineStr"/>
      <c r="E18" s="8" t="inlineStr">
        <is>
          <t>(Giữ nguyên)</t>
        </is>
      </c>
      <c r="F18" s="8" t="inlineStr">
        <is>
          <t>(Giữ nguyên)</t>
        </is>
      </c>
      <c r="G18" s="8" t="inlineStr">
        <is>
          <t>(Giữ nguyên)</t>
        </is>
      </c>
      <c r="H18" s="8" t="inlineStr"/>
    </row>
    <row r="19">
      <c r="A19" s="7" t="inlineStr">
        <is>
          <t>CP chiết khấu khuyến mại</t>
        </is>
      </c>
      <c r="B19" s="8">
        <f> Doanh thu thực tế của dòng (ngành) × tỷ lệ CKKM. Tỷ lệ CKKM từ chương trình khuyến mãi (trade promotion), trung bình cộng theo tháng; ưu tiên (Model SP + Kênh + kỳ) → (Model SP + Chuỗi + kỳ) → 0.</f>
        <v/>
      </c>
      <c r="C19" s="8" t="inlineStr">
        <is>
          <t>Lọc theo ngành + phạm vi như Doanh thu.</t>
        </is>
      </c>
      <c r="D19" s="8" t="inlineStr"/>
      <c r="E19" s="8">
        <f> Doanh thu thực tế của dòng (ngành) × tỷ lệ CKKM (%). Tỷ lệ CKKM lấy từ dữ liệu chương trình khuyến mãi thương mại (trade promotion), là trung bình cộng theo tháng; tra theo thứ tự ưu tiên: (1) Model sản phẩm + Kênh + kỳ; (2) nếu thiếu → Model sản phẩm + Chuỗi + kỳ; (3) nếu vẫn thiếu → tỷ lệ = 0. 'Kỳ' = tháng giao dịch của dòng.</f>
        <v/>
      </c>
      <c r="F19" s="8" t="inlineStr">
        <is>
          <t>Lọc theo ngành và phạm vi như Doanh thu.</t>
        </is>
      </c>
      <c r="G19" s="8" t="inlineStr">
        <is>
          <t>Định nghĩa thuật ngữ: 'Model sản phẩm (Model SP)' = nhóm/dòng sản phẩm dùng để tra tỷ lệ khuyến mãi; 'Kênh' = kênh bán hàng; 'Chuỗi' = chuỗi/hệ thống bán. Đây là chi phí ước tính theo tỷ lệ khuyến mãi, không phải chi thực phát sinh ghi sổ.</t>
        </is>
      </c>
      <c r="H19" s="8" t="inlineStr"/>
    </row>
    <row r="20">
      <c r="A20" s="7" t="inlineStr">
        <is>
          <t>CP nhân viên KD</t>
        </is>
      </c>
      <c r="B20" s="8">
        <f> phần trăm kế hoạch (theo AOP) của chỉ tiêu 'CP nhân viên KD' × Doanh thu thực tế CỦA NGÀNH.</f>
        <v/>
      </c>
      <c r="C20" s="8" t="inlineStr">
        <is>
          <t>—</t>
        </is>
      </c>
      <c r="D20" s="8" t="inlineStr">
        <is>
          <t>Ước tính theo kế hoạch AOP — không phải chi phí thực phát sinh.</t>
        </is>
      </c>
      <c r="E20" s="8">
        <f> phần trăm kế hoạch (theo AOP) của chỉ tiêu 'CP nhân viên KD' × Doanh thu THỰC TẾ (thuần, chưa VAT) CỦA NGÀNH. % AOP lấy từ kế hoạch AOP loại 'kế hoạch chi phí' năm hiện hành, theo đúng chỉ tiêu này. Đây là CƠ CHẾ PHÂN BỔ NHÓM 1: theo tỷ trọng Doanh thu THỰC TẾ của ngành.</f>
        <v/>
      </c>
      <c r="F20" s="8" t="inlineStr">
        <is>
          <t>—</t>
        </is>
      </c>
      <c r="G20" s="8" t="inlineStr">
        <is>
          <t>Chi phí ƯỚC TÍNH theo kế hoạch AOP, không phải chi thực phát sinh. PHÂN BIỆT RÕ: dòng này thuộc NHÓM phân bổ theo DOANH THU THỰC TẾ (= %AOP × Doanh thu thực tế ngành) — KHÁC nhóm phân bổ theo DOANH SỐ KẾ HOẠCH (xúc tiến / nhân viên BO / CP khác / Thu nhập khác).</t>
        </is>
      </c>
      <c r="H20" s="8" t="inlineStr"/>
    </row>
    <row r="21">
      <c r="A21" s="7" t="inlineStr">
        <is>
          <t>CP roadshow hội nghị</t>
        </is>
      </c>
      <c r="B21" s="8">
        <f> phần trăm kế hoạch (theo AOP) của chỉ tiêu 'CP roadshow hội nghị' × Doanh thu thực tế của ngành.</f>
        <v/>
      </c>
      <c r="C21" s="8" t="inlineStr">
        <is>
          <t>—</t>
        </is>
      </c>
      <c r="D21" s="8" t="inlineStr">
        <is>
          <t>Ước tính theo kế hoạch AOP — không phải chi phí thực phát sinh.</t>
        </is>
      </c>
      <c r="E21" s="8">
        <f> phần trăm kế hoạch (theo AOP) của chỉ tiêu 'CP roadshow hội nghị' × Doanh thu THỰC TẾ (thuần) của ngành. % AOP lấy từ kế hoạch AOP loại 'kế hoạch chi phí' năm hiện hành, theo đúng chỉ tiêu này. Cơ chế phân bổ NHÓM 1: theo tỷ trọng Doanh thu thực tế của ngành.</f>
        <v/>
      </c>
      <c r="F21" s="8" t="inlineStr">
        <is>
          <t>—</t>
        </is>
      </c>
      <c r="G21" s="8" t="inlineStr">
        <is>
          <t>Chi phí ước tính theo AOP, không phải chi thực phát sinh. Thuộc nhóm phân bổ theo DOANH THU THỰC TẾ ngành (không phải Doanh số kế hoạch).</t>
        </is>
      </c>
      <c r="H21" s="8" t="inlineStr"/>
    </row>
    <row r="22">
      <c r="A22" s="7" t="inlineStr">
        <is>
          <t>CP công tác tiếp khách KD</t>
        </is>
      </c>
      <c r="B22" s="8">
        <f> phần trăm kế hoạch (theo AOP) của chỉ tiêu 'CP công tác tiếp khách KD' × Doanh thu thực tế của ngành.</f>
        <v/>
      </c>
      <c r="C22" s="8" t="inlineStr">
        <is>
          <t>—</t>
        </is>
      </c>
      <c r="D22" s="8" t="inlineStr">
        <is>
          <t>Ước tính theo kế hoạch AOP — không phải chi phí thực phát sinh.</t>
        </is>
      </c>
      <c r="E22" s="8">
        <f> phần trăm kế hoạch (theo AOP) của chỉ tiêu 'CP công tác tiếp khách KD' × Doanh thu THỰC TẾ (thuần) của ngành. % AOP lấy từ kế hoạch AOP loại 'kế hoạch chi phí' năm hiện hành, theo đúng chỉ tiêu này. Cơ chế phân bổ NHÓM 1: theo tỷ trọng Doanh thu thực tế của ngành.</f>
        <v/>
      </c>
      <c r="F22" s="8" t="inlineStr">
        <is>
          <t>—</t>
        </is>
      </c>
      <c r="G22" s="8" t="inlineStr">
        <is>
          <t>Chi phí ước tính theo AOP, không phải chi thực phát sinh. Thuộc nhóm phân bổ theo DOANH THU THỰC TẾ ngành.</t>
        </is>
      </c>
      <c r="H22" s="8" t="inlineStr"/>
    </row>
    <row r="23">
      <c r="A23" s="7" t="inlineStr">
        <is>
          <t>Lợi nhuận gộp Kinh doanh</t>
        </is>
      </c>
      <c r="B23" s="8">
        <f> Lợi nhuận gộp − CP chiết khấu khuyến mại − CP nhân viên KD − CP roadshow hội nghị − CP công tác tiếp khách KD (tất cả của ngành).</f>
        <v/>
      </c>
      <c r="C23" s="8" t="inlineStr">
        <is>
          <t>—</t>
        </is>
      </c>
      <c r="D23" s="8" t="inlineStr">
        <is>
          <t>Gồm các chi phí ước tính theo AOP.</t>
        </is>
      </c>
      <c r="E23" s="8" t="inlineStr">
        <is>
          <t>(Giữ nguyên)</t>
        </is>
      </c>
      <c r="F23" s="8" t="inlineStr">
        <is>
          <t>(Giữ nguyên)</t>
        </is>
      </c>
      <c r="G23" s="8" t="inlineStr">
        <is>
          <t>(Giữ nguyên)</t>
        </is>
      </c>
      <c r="H23" s="8" t="inlineStr"/>
    </row>
    <row r="24">
      <c r="A24" s="7" t="inlineStr">
        <is>
          <t>CP xúc tiến bán hàng</t>
        </is>
      </c>
      <c r="B24" s="8">
        <f> CP xúc tiến bán hàng của TẬP ĐOÀN × (Doanh số KẾ HOẠCH của ngành ÷ Doanh số KẾ HOẠCH của tập đoàn). (CP xúc tiến tập đoàn = số ngày trong tháng đến ngày chọn × định mức tháng theo AOP ÷ 30.)</f>
        <v/>
      </c>
      <c r="C24" s="8" t="inlineStr">
        <is>
          <t>—</t>
        </is>
      </c>
      <c r="D24" s="8" t="inlineStr">
        <is>
          <t>Ước tính theo AOP, phân bổ cho ngành theo tỷ trọng Doanh số KẾ HOẠCH (AOP) của ngành.</t>
        </is>
      </c>
      <c r="E24" s="8">
        <f> CP xúc tiến bán hàng của TẬP ĐOÀN × (Doanh số KẾ HOẠCH (AOP) của ngành ÷ Doanh số KẾ HOẠCH (AOP) của tập đoàn). Trong đó 'CP xúc tiến tập đoàn' = (số thứ tự ngày trong tháng của ngày được chọn — ví dụ chọn 16/05 → 16) × (định mức tháng theo AOP ÷ 30). Định mức tháng lấy từ kế hoạch AOP cấp tập đoàn năm hiện hành, theo đúng chỉ tiêu này. Đây là CƠ CHẾ PHÂN BỔ NHÓM 2: theo tỷ trọng Doanh số KẾ HOẠCH (AOP) của ngành.</f>
        <v/>
      </c>
      <c r="F24" s="8" t="inlineStr">
        <is>
          <t>—</t>
        </is>
      </c>
      <c r="G24" s="8" t="inlineStr">
        <is>
          <t>Mẫu số 30 là QUY ƯỚC CỐ ĐỊNH (luôn 30, KHÔNG đổi theo số ngày thực 28/29/31 của tháng) — dùng để phân bổ đều định mức tháng theo số ngày đã trôi qua. Chi phí ước tính theo AOP. PHÂN BIỆT RÕ: dòng này thuộc NHÓM phân bổ theo DOANH SỐ KẾ HOẠCH (AOP) ngành — KHÁC nhóm CP nhân viên KD / roadshow / tiếp khách / vận chuyển / bảo hành / tài chính (phân bổ theo Doanh thu thực tế).</t>
        </is>
      </c>
      <c r="H24" s="8" t="inlineStr"/>
    </row>
    <row r="25">
      <c r="A25" s="7" t="inlineStr">
        <is>
          <t>Lợi nhuận xúc tiến bán hàng</t>
        </is>
      </c>
      <c r="B25" s="8">
        <f> Lợi nhuận gộp Kinh doanh − CP xúc tiến bán hàng (ngành).</f>
        <v/>
      </c>
      <c r="C25" s="8" t="inlineStr">
        <is>
          <t>—</t>
        </is>
      </c>
      <c r="D25" s="8" t="inlineStr"/>
      <c r="E25" s="8" t="inlineStr">
        <is>
          <t>(Giữ nguyên)</t>
        </is>
      </c>
      <c r="F25" s="8" t="inlineStr">
        <is>
          <t>(Giữ nguyên)</t>
        </is>
      </c>
      <c r="G25" s="8" t="inlineStr">
        <is>
          <t>(Giữ nguyên)</t>
        </is>
      </c>
      <c r="H25" s="8" t="inlineStr"/>
    </row>
    <row r="26">
      <c r="A26" s="7" t="inlineStr">
        <is>
          <t>CP nhân viên BO</t>
        </is>
      </c>
      <c r="B26" s="8">
        <f> CP nhân viên BO của TẬP ĐOÀN × (Doanh số KẾ HOẠCH của ngành ÷ Doanh số KẾ HOẠCH của tập đoàn).</f>
        <v/>
      </c>
      <c r="C26" s="8" t="inlineStr">
        <is>
          <t>—</t>
        </is>
      </c>
      <c r="D26" s="8" t="inlineStr">
        <is>
          <t>Ước tính theo AOP, phân bổ cho ngành theo tỷ trọng Doanh số KẾ HOẠCH (AOP) của ngành.</t>
        </is>
      </c>
      <c r="E26" s="8">
        <f> CP nhân viên BO của TẬP ĐOÀN × (Doanh số KẾ HOẠCH (AOP) của ngành ÷ Doanh số KẾ HOẠCH (AOP) của tập đoàn). 'CP nhân viên BO của tập đoàn' là số ƯỚC TÍNH theo kế hoạch AOP cấp tập đoàn (loại 'kế hoạch chi phí', năm hiện hành, theo đúng chỉ tiêu này), KHÔNG phải chi thực phát sinh. Cơ chế phân bổ NHÓM 2: theo tỷ trọng Doanh số KẾ HOẠCH (AOP) của ngành.</f>
        <v/>
      </c>
      <c r="F26" s="8" t="inlineStr">
        <is>
          <t>—</t>
        </is>
      </c>
      <c r="G26" s="8" t="inlineStr">
        <is>
          <t>'BO' = back-office (bộ phận hỗ trợ, không trực tiếp bán hàng). Số gốc cấp tập đoàn là số AOP (kế hoạch), không phải thực tế. Thuộc NHÓM phân bổ theo DOANH SỐ KẾ HOẠCH (AOP) ngành — cùng nhóm với CP xúc tiến / CP khác / Thu nhập khác.</t>
        </is>
      </c>
      <c r="H26" s="8" t="inlineStr"/>
    </row>
    <row r="27">
      <c r="A27" s="7" t="inlineStr">
        <is>
          <t>Lợi nhuận nhân viên</t>
        </is>
      </c>
      <c r="B27" s="8">
        <f> Lợi nhuận xúc tiến bán hàng − CP nhân viên BO (ngành).</f>
        <v/>
      </c>
      <c r="C27" s="8" t="inlineStr">
        <is>
          <t>—</t>
        </is>
      </c>
      <c r="D27" s="8" t="inlineStr"/>
      <c r="E27" s="8" t="inlineStr">
        <is>
          <t>(Giữ nguyên)</t>
        </is>
      </c>
      <c r="F27" s="8" t="inlineStr">
        <is>
          <t>(Giữ nguyên)</t>
        </is>
      </c>
      <c r="G27" s="8" t="inlineStr">
        <is>
          <t>(Giữ nguyên)</t>
        </is>
      </c>
      <c r="H27" s="8" t="inlineStr"/>
    </row>
    <row r="28">
      <c r="A28" s="7" t="inlineStr">
        <is>
          <t>CP quản lý vận hành</t>
        </is>
      </c>
      <c r="B28" s="8" t="inlineStr">
        <is>
          <t>Dòng tổng hợp = TỔNG ĐÚNG 5 dòng chi phí bên dưới trong bảng này (CÙNG GIÁ TRỊ với các dòng đó): 'CP vận chuyển' + 'CP bảo hành' + 'CP tài chính' + 'CP dự phòng tồn kho thanh lý' + 'CP khác'.</t>
        </is>
      </c>
      <c r="C28" s="8" t="inlineStr">
        <is>
          <t>—</t>
        </is>
      </c>
      <c r="D28" s="8" t="inlineStr">
        <is>
          <t>Các thành phần đều là chi phí ước tính theo AOP/định mức — xem đúng từng dòng tương ứng.</t>
        </is>
      </c>
      <c r="E28" s="8" t="inlineStr">
        <is>
          <t>Dòng TỔNG HỢP = TỔNG ĐÚNG 5 dòng chi phí con trong cùng bảng: 'CP vận chuyển' + 'CP bảo hành' + 'CP tài chính' + 'CP dự phòng tồn kho thanh lý' + 'CP khác' (cùng giá trị với tổng 5 dòng đó). Dòng 'Lợi nhuận quản lý vận hành' chỉ TRỪ dòng tổng này ĐÚNG 1 LẦN — KHÔNG trừ thêm 5 dòng con (5 con chỉ là chi tiết).</t>
        </is>
      </c>
      <c r="F28" s="8" t="inlineStr">
        <is>
          <t>—</t>
        </is>
      </c>
      <c r="G28" s="8" t="inlineStr">
        <is>
          <t>TRÁNH DOUBLE-COUNT: pivot có thể hiển thị cả dòng tổng lẫn 5 dòng con, nhưng chỉ dòng tổng được dùng để trừ ra 'Lợi nhuận quản lý vận hành' (1 lần). 5 dòng con dùng 2 cơ chế phân bổ khác nhau: vận chuyển / bảo hành / tài chính / dự phòng tồn kho thanh lý theo Doanh thu thực tế (hoặc định mức %DT); 'CP khác' theo Doanh số kế hoạch (AOP). Nên gom 'CP dự phòng tồn kho thanh lý' (đang đặt cuối báo cáo) về cạnh 4 dòng con kia để KGR cộng kiểm tra tổng.</t>
        </is>
      </c>
      <c r="H28" s="8" t="inlineStr"/>
    </row>
    <row r="29">
      <c r="A29" s="7" t="inlineStr">
        <is>
          <t>CP vận chuyển</t>
        </is>
      </c>
      <c r="B29" s="8">
        <f> phần trăm kế hoạch (theo AOP) của chỉ tiêu 'CP vận chuyển' × Doanh thu thực tế của ngành.</f>
        <v/>
      </c>
      <c r="C29" s="8" t="inlineStr">
        <is>
          <t>—</t>
        </is>
      </c>
      <c r="D29" s="8" t="inlineStr">
        <is>
          <t>Ước tính theo kế hoạch AOP — không phải chi phí thực phát sinh.</t>
        </is>
      </c>
      <c r="E29" s="8">
        <f> phần trăm kế hoạch (theo AOP) của chỉ tiêu 'CP vận chuyển' × Doanh thu THỰC TẾ (thuần) của ngành. % AOP lấy từ kế hoạch AOP loại 'kế hoạch chi phí' năm hiện hành, theo đúng chỉ tiêu này. Cơ chế phân bổ NHÓM 1: theo tỷ trọng Doanh thu thực tế của ngành.</f>
        <v/>
      </c>
      <c r="F29" s="8" t="inlineStr">
        <is>
          <t>—</t>
        </is>
      </c>
      <c r="G29" s="8" t="inlineStr">
        <is>
          <t>Chi phí ước tính theo AOP. Là một trong 5 thành phần của 'CP quản lý vận hành'. Thuộc nhóm phân bổ theo DOANH THU THỰC TẾ ngành.</t>
        </is>
      </c>
      <c r="H29" s="8" t="inlineStr"/>
    </row>
    <row r="30">
      <c r="A30" s="7" t="inlineStr">
        <is>
          <t>CP bảo hành</t>
        </is>
      </c>
      <c r="B30" s="8">
        <f> phần trăm kế hoạch (theo AOP) của chỉ tiêu 'CP bảo hành' × Doanh thu thực tế của ngành.</f>
        <v/>
      </c>
      <c r="C30" s="8" t="inlineStr">
        <is>
          <t>—</t>
        </is>
      </c>
      <c r="D30" s="8" t="inlineStr">
        <is>
          <t>Ước tính theo kế hoạch AOP — không phải chi phí thực phát sinh.</t>
        </is>
      </c>
      <c r="E30" s="8">
        <f> phần trăm kế hoạch (theo AOP) của chỉ tiêu 'CP bảo hành' × Doanh thu THỰC TẾ (thuần) của ngành. % AOP lấy từ kế hoạch AOP loại 'kế hoạch chi phí' năm hiện hành, theo đúng chỉ tiêu này. Cơ chế phân bổ NHÓM 1: theo tỷ trọng Doanh thu thực tế của ngành.</f>
        <v/>
      </c>
      <c r="F30" s="8" t="inlineStr">
        <is>
          <t>—</t>
        </is>
      </c>
      <c r="G30" s="8" t="inlineStr">
        <is>
          <t>Chi phí ước tính theo AOP. Là một thành phần của 'CP quản lý vận hành'. Thuộc nhóm phân bổ theo DOANH THU THỰC TẾ ngành.</t>
        </is>
      </c>
      <c r="H30" s="8" t="inlineStr"/>
    </row>
    <row r="31">
      <c r="A31" s="7" t="inlineStr">
        <is>
          <t>CP tài chính</t>
        </is>
      </c>
      <c r="B31" s="8">
        <f> phần trăm kế hoạch (theo AOP) của chỉ tiêu 'CP tài chính' × Doanh thu thực tế của ngành.</f>
        <v/>
      </c>
      <c r="C31" s="8" t="inlineStr">
        <is>
          <t>—</t>
        </is>
      </c>
      <c r="D31" s="8" t="inlineStr">
        <is>
          <t>Ước tính theo kế hoạch AOP — không phải chi phí thực phát sinh.</t>
        </is>
      </c>
      <c r="E31" s="8">
        <f> phần trăm kế hoạch (theo AOP) của chỉ tiêu 'CP tài chính' × Doanh thu THỰC TẾ (thuần) của ngành. % AOP lấy từ kế hoạch AOP loại 'kế hoạch chi phí' năm hiện hành, theo đúng chỉ tiêu này. Cơ chế phân bổ NHÓM 1: theo tỷ trọng Doanh thu thực tế của ngành.</f>
        <v/>
      </c>
      <c r="F31" s="8" t="inlineStr">
        <is>
          <t>—</t>
        </is>
      </c>
      <c r="G31" s="8" t="inlineStr">
        <is>
          <t>Chi phí ước tính theo AOP. Là một thành phần của 'CP quản lý vận hành'. Thuộc nhóm phân bổ theo DOANH THU THỰC TẾ ngành.</t>
        </is>
      </c>
      <c r="H31" s="8" t="inlineStr"/>
    </row>
    <row r="32">
      <c r="A32" s="7" t="inlineStr">
        <is>
          <t>CP khác</t>
        </is>
      </c>
      <c r="B32" s="8">
        <f> CP khác của TẬP ĐOÀN × (Doanh số KẾ HOẠCH của ngành ÷ Doanh số KẾ HOẠCH của tập đoàn).</f>
        <v/>
      </c>
      <c r="C32" s="8" t="inlineStr">
        <is>
          <t>—</t>
        </is>
      </c>
      <c r="D32" s="8" t="inlineStr">
        <is>
          <t>Ước tính theo AOP, phân bổ cho ngành theo tỷ trọng Doanh số KẾ HOẠCH (AOP) của ngành.</t>
        </is>
      </c>
      <c r="E32" s="8">
        <f> CP khác của TẬP ĐOÀN × (Doanh số KẾ HOẠCH (AOP) của ngành ÷ Doanh số KẾ HOẠCH (AOP) của tập đoàn). 'CP khác của tập đoàn' là số ƯỚC TÍNH theo kế hoạch AOP cấp tập đoàn (loại 'kế hoạch chi phí', năm hiện hành, theo đúng chỉ tiêu này), KHÔNG phải chi thực phát sinh. Cơ chế phân bổ NHÓM 2: theo tỷ trọng Doanh số KẾ HOẠCH (AOP) của ngành.</f>
        <v/>
      </c>
      <c r="F32" s="8" t="inlineStr">
        <is>
          <t>—</t>
        </is>
      </c>
      <c r="G32" s="8" t="inlineStr">
        <is>
          <t>Là một thành phần của 'CP quản lý vận hành'. Khác với 3 thành phần vận chuyển / bảo hành / tài chính (phân bổ theo Doanh thu thực tế), 'CP khác' phân bổ theo DOANH SỐ KẾ HOẠCH (AOP) ngành — nên đánh dấu cơ chế khác biệt này ngay trong dòng để KGR không nhầm khi đối chiếu.</t>
        </is>
      </c>
      <c r="H32" s="8" t="inlineStr"/>
    </row>
    <row r="33">
      <c r="A33" s="7" t="inlineStr">
        <is>
          <t>Thu nhập khác</t>
        </is>
      </c>
      <c r="B33" s="8">
        <f> Thu nhập khác của TẬP ĐOÀN × (Doanh số KẾ HOẠCH của ngành ÷ Doanh số KẾ HOẠCH của tập đoàn). 'Thu nhập khác của tập đoàn' = doanh thu của các dòng thuộc ngành 'Khác' (ngoài 4 ngành chính Water/Home/Cold &amp; Hygiene/Sanitary care; ngành xác định theo phân loại ngành ghi trên dòng hóa đơn), lũy kế đến ngày chọn, cùng phạm vi loại trừ như Doanh thu.</f>
        <v/>
      </c>
      <c r="C33" s="8" t="inlineStr">
        <is>
          <t>—</t>
        </is>
      </c>
      <c r="D33" s="8" t="inlineStr">
        <is>
          <t>Phân bổ về ngành theo tỷ trọng AOP doanh số; được cộng khi tính Lợi nhuận quản lý vận hành.</t>
        </is>
      </c>
      <c r="E33" s="8">
        <f> Thu nhập khác của TẬP ĐOÀN × (Doanh số KẾ HOẠCH (AOP) của ngành ÷ Doanh số KẾ HOẠCH (AOP) của tập đoàn). 'Thu nhập khác của tập đoàn' = doanh thu của các dòng thuộc ngành 'Khác' (nhóm ngoài 4 ngành chính Water / Home / Cold &amp; Hygiene / Sanitary care; ngành xác định theo phân loại ngành ghi trên dòng hóa đơn), lũy kế đến ngày chọn, cùng phạm vi loại trừ như Doanh thu. Khoản này được phân bổ NGƯỢC về 4 ngành chính theo tỷ trọng Doanh số kế hoạch (AOP), và được CỘNG khi tính 'Lợi nhuận quản lý vận hành'.</f>
        <v/>
      </c>
      <c r="F33" s="8" t="inlineStr">
        <is>
          <t>Cùng phạm vi và loại trừ như Doanh thu (2 pháp nhân VU1 + Chi nhánh HCM; đã hạch toán; loại HTL / khách ký gửi / kênh nội bộ).</t>
        </is>
      </c>
      <c r="G33" s="8" t="inlineStr">
        <is>
          <t>KHÔNG double-count: doanh thu của 4 pivot ngành chỉ gồm 4 ngành chính, KHÔNG gồm ngành 'Khác'; doanh thu ngành 'Khác' chỉ xuất hiện một lần dưới dạng 'Thu nhập khác' rồi được cộng ở dòng 'Lợi nhuận quản lý vận hành'. Tổng 'Thu nhập khác' phân bổ về 4 ngành = doanh thu ngành 'Khác' của tập đoàn. KGR xác nhận đây là chủ ý.</t>
        </is>
      </c>
      <c r="H33" s="8" t="inlineStr"/>
    </row>
    <row r="34">
      <c r="A34" s="7" t="inlineStr">
        <is>
          <t>Lợi nhuận quản lý vận hành</t>
        </is>
      </c>
      <c r="B34" s="8">
        <f> Lợi nhuận nhân viên − CP quản lý vận hành + Thu nhập khác (ngành).</f>
        <v/>
      </c>
      <c r="C34" s="8" t="inlineStr">
        <is>
          <t>—</t>
        </is>
      </c>
      <c r="D34" s="8" t="inlineStr"/>
      <c r="E34" s="8">
        <f> Lợi nhuận nhân viên − CP quản lý vận hành + Thu nhập khác (tất cả của ngành). Trong đó 'CP quản lý vận hành' là DÒNG TỔNG (tổng đúng 5 dòng con), được TRỪ ĐÚNG 1 LẦN — không trừ lặp 5 dòng con; 'Thu nhập khác' được CỘNG ĐÚNG 1 LẦN.</f>
        <v/>
      </c>
      <c r="F34" s="8" t="inlineStr">
        <is>
          <t>—</t>
        </is>
      </c>
      <c r="G34" s="8" t="inlineStr">
        <is>
          <t>Phụ thuộc 2 dòng đã được làm rõ: 'CP quản lý vận hành' (dòng tổng, trừ 1 lần) và 'Thu nhập khác' (doanh thu ngành 'Khác' phân bổ, không double-count).</t>
        </is>
      </c>
      <c r="H34" s="8" t="inlineStr"/>
    </row>
    <row r="35">
      <c r="A35" s="7" t="inlineStr">
        <is>
          <t>CP dự phòng hoạt động năm trước</t>
        </is>
      </c>
      <c r="B35" s="8">
        <f> 21% × Lợi nhuận quản lý vận hành (ngành).</f>
        <v/>
      </c>
      <c r="C35" s="8" t="inlineStr">
        <is>
          <t>—</t>
        </is>
      </c>
      <c r="D35" s="8" t="inlineStr">
        <is>
          <t>Định mức 21% cố định; áp trên LN quản lý vận hành kỳ hiện tại (tên dòng theo nhãn báo cáo).</t>
        </is>
      </c>
      <c r="E35" s="8">
        <f> 21% × Lợi nhuận quản lý vận hành KỲ HIỆN TẠI (của ngành). 21% là định mức QUY ƯỚC CỐ ĐỊNH trong báo cáo.</f>
        <v/>
      </c>
      <c r="F35" s="8" t="inlineStr">
        <is>
          <t>—</t>
        </is>
      </c>
      <c r="G35" s="8" t="inlineStr">
        <is>
          <t>CẢNH BÁO TÊN: cụm 'năm trước' chỉ là nhãn theo báo cáo, KHÔNG liên quan số liệu năm trước thực tế — công thức áp trên Lợi nhuận quản lý vận hành của KỲ HIỆN TẠI. Định mức 21% cố định.</t>
        </is>
      </c>
      <c r="H35" s="8" t="inlineStr"/>
    </row>
    <row r="36">
      <c r="A36" s="7" t="inlineStr">
        <is>
          <t>Lợi nhuận trước thuế</t>
        </is>
      </c>
      <c r="B36" s="8">
        <f> Lợi nhuận quản lý vận hành − CP dự phòng hoạt động năm trước (ngành).</f>
        <v/>
      </c>
      <c r="C36" s="8" t="inlineStr">
        <is>
          <t>—</t>
        </is>
      </c>
      <c r="D36" s="8" t="inlineStr"/>
      <c r="E36" s="8" t="inlineStr">
        <is>
          <t>(Giữ nguyên)</t>
        </is>
      </c>
      <c r="F36" s="8" t="inlineStr">
        <is>
          <t>(Giữ nguyên)</t>
        </is>
      </c>
      <c r="G36" s="8" t="inlineStr">
        <is>
          <t>(Giữ nguyên)</t>
        </is>
      </c>
      <c r="H36" s="8" t="inlineStr"/>
    </row>
    <row r="37">
      <c r="A37" s="7" t="inlineStr">
        <is>
          <t>Lợi nhuận sau thuế</t>
        </is>
      </c>
      <c r="B37" s="8">
        <f> Nếu Lợi nhuận trước thuế &gt; 0 thì giữ lại 80% (× 0,8); nếu ≤ 0 giữ nguyên.</f>
        <v/>
      </c>
      <c r="C37" s="8" t="inlineStr">
        <is>
          <t>—</t>
        </is>
      </c>
      <c r="D37" s="8" t="inlineStr">
        <is>
          <t>80% là QUY ƯỚC cố định trong báo cáo (không phải thuế suất TNDN thực).</t>
        </is>
      </c>
      <c r="E37" s="8" t="inlineStr">
        <is>
          <t>(Giữ nguyên)</t>
        </is>
      </c>
      <c r="F37" s="8" t="inlineStr">
        <is>
          <t>(Giữ nguyên)</t>
        </is>
      </c>
      <c r="G37" s="8" t="inlineStr">
        <is>
          <t>(Giữ nguyên)</t>
        </is>
      </c>
      <c r="H37" s="8" t="inlineStr"/>
    </row>
    <row r="38">
      <c r="A38" s="7" t="inlineStr">
        <is>
          <t>Tỷ lệ Xanh/Đỏ</t>
        </is>
      </c>
      <c r="B38" s="8" t="inlineStr">
        <is>
          <t>Giá trị gốc = Doanh số nhóm Xanh ÷ Doanh số nhóm Đỏ (của ngành; Đỏ=0 → để trống). Cột 'Giá trị thực tế' quy đổi thành % doanh số Xanh = DS Xanh ÷ (DS Xanh + DS Đỏ) × 100.</t>
        </is>
      </c>
      <c r="C38" s="8" t="inlineStr">
        <is>
          <t>Chỉ sản phẩm có phân loại Xanh/Đỏ, trong ngành.</t>
        </is>
      </c>
      <c r="D38" s="8" t="inlineStr"/>
      <c r="E38" s="8" t="inlineStr">
        <is>
          <t>Giá trị HIỂN THỊ trên báo cáo (cột 'Giá trị thực tế') = % doanh số Xanh = DS Xanh ÷ (DS Xanh + DS Đỏ) × 100 (của ngành); là một phần trăm từ 0 đến 100. (Giá trị gốc của chỉ tiêu là tỷ số DS Xanh ÷ DS Đỏ, nhưng cột hiển thị đã quy đổi thành % doanh số Xanh trên tổng.)</t>
        </is>
      </c>
      <c r="F38" s="8" t="inlineStr">
        <is>
          <t>Chỉ tính trên sản phẩm có phân loại Xanh/Đỏ, trong ngành. Đỏ = 0 (mẫu DS Xanh + DS Đỏ = 0) → để trống.</t>
        </is>
      </c>
      <c r="G38" s="8" t="inlineStr">
        <is>
          <t>Xanh/Đỏ = phân loại ưu tiên kinh doanh của sản phẩm (Xanh = nhóm ưu tiên, Đỏ = nhóm còn lại); mỗi sản phẩm thuộc đúng 1 nhóm. Con số trên pivot là % (0–100), KHÔNG phải tỷ số — KGR nên xác nhận, và bỏ hoặc ghi chú rõ phần 'giá trị gốc tỷ số' nếu không hiển thị.</t>
        </is>
      </c>
      <c r="H38" s="8" t="inlineStr"/>
    </row>
    <row r="39">
      <c r="A39" s="7" t="inlineStr">
        <is>
          <t>CP dự phòng tồn kho thanh lý</t>
        </is>
      </c>
      <c r="B39" s="8">
        <f> 1,5% × Doanh thu thực tế của ngành.</f>
        <v/>
      </c>
      <c r="C39" s="8" t="inlineStr">
        <is>
          <t>—</t>
        </is>
      </c>
      <c r="D39" s="8" t="inlineStr">
        <is>
          <t>Định mức 1,5% cố định; là một thành phần của 'CP quản lý vận hành'.</t>
        </is>
      </c>
      <c r="E39" s="8">
        <f> 1,5% × Doanh thu THỰC TẾ (thuần) của ngành. 1,5% là định mức QUY ƯỚC CỐ ĐỊNH trong báo cáo.</f>
        <v/>
      </c>
      <c r="F39" s="8" t="inlineStr">
        <is>
          <t>—</t>
        </is>
      </c>
      <c r="G39" s="8" t="inlineStr">
        <is>
          <t>Là một trong 5 thành phần của 'CP quản lý vận hành'. Hiện đặt CUỐI báo cáo (sau 'Lợi nhuận sau thuế') làm phá vỡ trình tự P&amp;L — nên di chuyển lên cạnh 4 dòng con khác của 'CP quản lý vận hành' để KGR cộng kiểm tra tổng. Thuộc nhóm tính theo % trên Doanh thu thực tế ngành.</t>
        </is>
      </c>
      <c r="H39" s="8" t="inlineStr"/>
    </row>
  </sheetData>
  <mergeCells count="2">
    <mergeCell ref="A3:H3"/>
    <mergeCell ref="A13:H13"/>
  </mergeCells>
  <dataValidations count="1">
    <dataValidation sqref="H4:H40"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
  <sheetViews>
    <sheetView workbookViewId="0">
      <pane ySplit="2" topLeftCell="A3" activePane="bottomLeft" state="frozen"/>
      <selection pane="bottomLeft" activeCell="A1" sqref="A1"/>
    </sheetView>
  </sheetViews>
  <sheetFormatPr baseColWidth="8" defaultRowHeight="15"/>
  <cols>
    <col width="24" customWidth="1" min="1" max="1"/>
    <col width="48" customWidth="1" min="2" max="2"/>
    <col width="30" customWidth="1" min="3" max="3"/>
    <col width="24" customWidth="1" min="4" max="4"/>
    <col width="48" customWidth="1" min="5" max="5"/>
    <col width="30" customWidth="1" min="6" max="6"/>
    <col width="24" customWidth="1" min="7" max="7"/>
    <col width="12" customWidth="1" min="8" max="8"/>
  </cols>
  <sheetData>
    <row r="1">
      <c r="A1" s="4" t="inlineStr">
        <is>
          <t xml:space="preserve">(KGR) BRD.BC01_Daily_Summary v1.1 · BC01_Hàng ngày · </t>
        </is>
      </c>
    </row>
    <row r="3">
      <c r="A3" s="5" t="inlineStr">
        <is>
          <t>DAILY_CHUỖI (theo Chuỗi)</t>
        </is>
      </c>
    </row>
    <row r="4" ht="28" customHeight="1">
      <c r="A4" s="6" t="inlineStr">
        <is>
          <t>Cột / Chỉ tiêu</t>
        </is>
      </c>
      <c r="B4" s="6" t="inlineStr">
        <is>
          <t>Cách tính (logic nghiệp vụ)</t>
        </is>
      </c>
      <c r="C4" s="6" t="inlineStr">
        <is>
          <t>Loại trừ / Bộ lọc</t>
        </is>
      </c>
      <c r="D4" s="6" t="inlineStr">
        <is>
          <t>Ghi chú</t>
        </is>
      </c>
      <c r="E4" s="6" t="inlineStr">
        <is>
          <t>Cách tính (QA)</t>
        </is>
      </c>
      <c r="F4" s="6" t="inlineStr">
        <is>
          <t>Loại trừ-Bộ lọc (QA)</t>
        </is>
      </c>
      <c r="G4" s="6" t="inlineStr">
        <is>
          <t>Ghi chú (QA)</t>
        </is>
      </c>
      <c r="H4" s="6" t="inlineStr">
        <is>
          <t>KGR xác nhận</t>
        </is>
      </c>
    </row>
    <row r="5">
      <c r="A5" s="7" t="inlineStr">
        <is>
          <t>Tên Chuỗi</t>
        </is>
      </c>
      <c r="B5" s="8" t="inlineStr">
        <is>
          <t>Nhãn phân nhóm: tên chuỗi bán hàng của dòng. Bảng này gom số liệu theo từng Chuỗi, mỗi dòng là một chuỗi. Chuỗi có mã = 5 được coi là không thuộc chuỗi nào (để trống/loại khỏi nhóm chuỗi).</t>
        </is>
      </c>
      <c r="C5" s="8" t="inlineStr">
        <is>
          <t>—</t>
        </is>
      </c>
      <c r="D5" s="8" t="inlineStr">
        <is>
          <t>Cột chiều (dimension), không phải số liệu.</t>
        </is>
      </c>
      <c r="E5" s="8" t="inlineStr">
        <is>
          <t>Nhãn phân nhóm: tên chuỗi bán hàng của dòng. Bảng này gom số liệu theo từng Chuỗi (nhóm cửa hàng/điểm bán cùng hệ thống), mỗi dòng là một chuỗi. Riêng nhóm 'kênh nội bộ' (kênh bán nội bộ trong tập đoàn) được tách riêng, KHÔNG xếp vào chuỗi nào — dòng đó để trống tên chuỗi.</t>
        </is>
      </c>
      <c r="F5" s="8" t="inlineStr">
        <is>
          <t>Nhóm kênh nội bộ tách riêng, để trống tên chuỗi (không gộp vào nhóm chuỗi bán hàng).</t>
        </is>
      </c>
      <c r="G5" s="8" t="inlineStr">
        <is>
          <t>Cột chiều (dimension), không phải số liệu. 'Chuỗi' = nhóm điểm bán cùng hệ thống bán lẻ.</t>
        </is>
      </c>
      <c r="H5" s="8" t="inlineStr"/>
    </row>
    <row r="6">
      <c r="A6" s="7" t="inlineStr">
        <is>
          <t>% CKKM AOP</t>
        </is>
      </c>
      <c r="B6" s="8" t="inlineStr">
        <is>
          <t>Tỷ lệ % chi phí chiết khấu khuyến mại theo KẾ HOẠCH (AOP) áp cho chuỗi đó. Lấy trực tiếp tỷ lệ % CKKM trong bản kế hoạch AOP, tra theo chuỗi + kênh + kỳ (khoảng ngày hiệu lực bao ngày giao dịch). Nếu một chuỗi khớp nhiều dòng kế hoạch thì lấy giá trị đại diện (gộp lại 1 giá trị cho chuỗi). Nếu kỳ đó không có kế hoạch → để trống.</t>
        </is>
      </c>
      <c r="C6" s="8" t="inlineStr">
        <is>
          <t>—</t>
        </is>
      </c>
      <c r="D6" s="8" t="inlineStr">
        <is>
          <t>Là tỷ lệ KẾ HOẠCH (AOP), không phải thực tế. AOP = kế hoạch năm.</t>
        </is>
      </c>
      <c r="E6" s="8" t="inlineStr">
        <is>
          <t>Tỷ lệ % chi phí chiết khấu khuyến mại theo KẾ HOẠCH (AOP) áp cho chuỗi đó. Lấy tỷ lệ % CKKM trong bản kế hoạch AOP, tra theo chuỗi + kênh + kỳ (khoảng ngày hiệu lực bao ngày giao dịch). Khi một chuỗi khớp NHIỀU dòng kế hoạch AOP → lấy giá trị TRUNG BÌNH các dòng đó (không trọng số). Nếu kỳ đó không có kế hoạch → để trống.</t>
        </is>
      </c>
      <c r="F6" s="8" t="inlineStr">
        <is>
          <t>—</t>
        </is>
      </c>
      <c r="G6" s="8" t="inlineStr">
        <is>
          <t>Là tỷ lệ KẾ HOẠCH (AOP = kế hoạch năm), không phải thực tế. Cùng chỉ tiêu với '% CKKM (AOP)' ở bảng Kênh/Tập đoàn/Ngành (chỉ khác cách viết nhãn); phép gộp khi khớp nhiều dòng là TRUNG BÌNH, đồng nhất 4 bảng. Khóa tra có 'kênh' vì kế hoạch AOP lập theo chuỗi×kênh; bảng này gom kết quả về theo chuỗi.</t>
        </is>
      </c>
      <c r="H6" s="8" t="inlineStr"/>
    </row>
    <row r="7">
      <c r="A7" s="7" t="inlineStr">
        <is>
          <t>% Lợi nhuận AOP</t>
        </is>
      </c>
      <c r="B7" s="8" t="inlineStr">
        <is>
          <t>Tỷ lệ % lợi nhuận theo KẾ HOẠCH (AOP) áp cho chuỗi đó. Lấy trực tiếp tỷ lệ % lợi nhuận trong bản kế hoạch AOP, tra theo chuỗi + kênh + kỳ (khoảng ngày hiệu lực bao ngày giao dịch); gộp về 1 giá trị đại diện cho chuỗi. Nếu kỳ đó không có kế hoạch → để trống.</t>
        </is>
      </c>
      <c r="C7" s="8" t="inlineStr">
        <is>
          <t>—</t>
        </is>
      </c>
      <c r="D7" s="8" t="inlineStr">
        <is>
          <t>Là tỷ lệ KẾ HOẠCH (AOP), không phải thực tế.</t>
        </is>
      </c>
      <c r="E7" s="8" t="inlineStr">
        <is>
          <t>Tỷ lệ % lợi nhuận theo KẾ HOẠCH (AOP) áp cho chuỗi đó (% lợi nhuận trên doanh số kế hoạch của chuỗi theo định nghĩa AOP). Lấy tỷ lệ % lợi nhuận trong bản kế hoạch AOP, tra theo chuỗi + kênh + kỳ; khi khớp nhiều dòng AOP → lấy giá trị TRUNG BÌNH. Nếu kỳ đó không có kế hoạch → để trống.</t>
        </is>
      </c>
      <c r="F7" s="8" t="inlineStr">
        <is>
          <t>—</t>
        </is>
      </c>
      <c r="G7" s="8" t="inlineStr">
        <is>
          <t>Là tỷ lệ KẾ HOẠCH (AOP), không phải thực tế. Mẫu số của % lợi nhuận do AOP định nghĩa sẵn (lấy nguyên tỷ lệ trong kế hoạch, báo cáo không tự tính lại). Phép gộp khi khớp nhiều dòng = TRUNG BÌNH, đồng nhất với bảng Kênh/Tập đoàn/Ngành.</t>
        </is>
      </c>
      <c r="H7" s="8" t="inlineStr"/>
    </row>
    <row r="8">
      <c r="A8" s="7" t="inlineStr">
        <is>
          <t>Lợi nhuận giao</t>
        </is>
      </c>
      <c r="B8" s="8" t="inlineStr">
        <is>
          <t>Mức lợi nhuận được GIAO theo kế hoạch (AOP) cho chuỗi trong kỳ. Lấy trực tiếp số lợi nhuận giao trong bản kế hoạch AOP, tra theo chuỗi + kênh + kỳ; cộng dồn các dòng kế hoạch khớp chuỗi. Nếu kỳ đó không có kế hoạch → để trống.</t>
        </is>
      </c>
      <c r="C8" s="8" t="inlineStr">
        <is>
          <t>—</t>
        </is>
      </c>
      <c r="D8" s="8" t="inlineStr">
        <is>
          <t>Là số KẾ HOẠCH (AOP), không phải thực tế. Đây là chỉ tiêu lợi nhuận giao cho chuỗi.</t>
        </is>
      </c>
      <c r="E8" s="8" t="inlineStr">
        <is>
          <t>Mức lợi nhuận được GIAO theo kế hoạch (AOP) cho chuỗi trong kỳ. Lấy số lợi nhuận giao trong bản kế hoạch AOP, tra theo chuỗi + kênh + kỳ; CỘNG DỒN (SUM) các dòng kế hoạch khớp chuỗi. Nếu kỳ đó không có kế hoạch → để trống.</t>
        </is>
      </c>
      <c r="F8" s="8" t="inlineStr">
        <is>
          <t>—</t>
        </is>
      </c>
      <c r="G8" s="8" t="inlineStr">
        <is>
          <t>Là số KẾ HOẠCH (AOP), không phải thực tế. Số tuyệt đối (Lợi nhuận giao, Doanh số AOP, CP CKKM AOP) thì CỘNG DỒN khi khớp nhiều dòng AOP, còn các cột % (% CKKM/% Lợi nhuận AOP) thì lấy TRUNG BÌNH — khác nhau do bản chất số tiền vs tỷ lệ. Cùng chỉ tiêu với 'LN Giao (AOP)' ở bảng Tập đoàn/Ngành (chỉ khác nhãn), cùng là lợi nhuận giao kế hoạch.</t>
        </is>
      </c>
      <c r="H8" s="8" t="inlineStr"/>
    </row>
    <row r="9">
      <c r="A9" s="7" t="inlineStr">
        <is>
          <t>Doanh số AOP</t>
        </is>
      </c>
      <c r="B9" s="8" t="inlineStr">
        <is>
          <t>Doanh số KẾ HOẠCH (AOP) giao cho chuỗi trong kỳ. Lấy trực tiếp số doanh số kế hoạch trong bản kế hoạch AOP, tra theo chuỗi + kênh + kỳ; cộng dồn các dòng kế hoạch khớp chuỗi. Nếu kỳ đó không có kế hoạch → để trống.</t>
        </is>
      </c>
      <c r="C9" s="8" t="inlineStr">
        <is>
          <t>—</t>
        </is>
      </c>
      <c r="D9" s="8" t="inlineStr">
        <is>
          <t>Là số KẾ HOẠCH (AOP), không phải thực tế.</t>
        </is>
      </c>
      <c r="E9" s="8" t="inlineStr">
        <is>
          <t>Doanh số KẾ HOẠCH (AOP) giao cho chuỗi trong kỳ — là KẾ HOẠCH CẢ THÁNG của kỳ (không lũy kế theo ngày). Lấy số doanh số kế hoạch trong bản kế hoạch AOP, tra theo chuỗi + kênh + kỳ; cộng dồn các dòng kế hoạch khớp chuỗi. Nếu kỳ đó không có kế hoạch → để trống.</t>
        </is>
      </c>
      <c r="F9" s="8" t="inlineStr">
        <is>
          <t>—</t>
        </is>
      </c>
      <c r="G9" s="8" t="inlineStr">
        <is>
          <t>Là số KẾ HOẠCH (AOP), không phải thực tế; cơ sở của Doanh số AOP do bản kế hoạch AOP quy định (lấy nguyên, báo cáo không quy đổi VAT). Khi so với 'Doanh số thực tế' để ra cột 'còn phải thực hiện': AOP = kế hoạch cả tháng, thực tế = lũy kế đến ngày được chọn. Cùng chỉ tiêu với 'Doanh số (AOP)' bảng Tập đoàn/Ngành (chỉ khác nhãn).</t>
        </is>
      </c>
      <c r="H9" s="8" t="inlineStr"/>
    </row>
    <row r="10">
      <c r="A10" s="7" t="inlineStr">
        <is>
          <t>CP CKKM AOP</t>
        </is>
      </c>
      <c r="B10" s="8" t="inlineStr">
        <is>
          <t>Chi phí chiết khấu khuyến mại (CKKM) theo KẾ HOẠCH (AOP) giao cho chuỗi trong kỳ. Lấy trực tiếp số tiền CKKM kế hoạch trong bản kế hoạch AOP, tra theo chuỗi + kênh + kỳ; cộng dồn các dòng kế hoạch khớp chuỗi. Nếu kỳ đó không có kế hoạch → để trống.</t>
        </is>
      </c>
      <c r="C10" s="8" t="inlineStr">
        <is>
          <t>—</t>
        </is>
      </c>
      <c r="D10" s="8" t="inlineStr">
        <is>
          <t>CKKM = chi phí chiết khấu/khuyến mãi thương mại. Là số KẾ HOẠCH (AOP), không phải thực tế.</t>
        </is>
      </c>
      <c r="E10" s="8" t="inlineStr">
        <is>
          <t>(Giữ nguyên)</t>
        </is>
      </c>
      <c r="F10" s="8" t="inlineStr">
        <is>
          <t>(Giữ nguyên)</t>
        </is>
      </c>
      <c r="G10" s="8" t="inlineStr">
        <is>
          <t>(Giữ nguyên)</t>
        </is>
      </c>
      <c r="H10" s="8" t="inlineStr"/>
    </row>
    <row r="11">
      <c r="A11" s="7" t="inlineStr">
        <is>
          <t>TlXD</t>
        </is>
      </c>
      <c r="B11" s="8" t="inlineStr">
        <is>
          <t>Tỷ lệ Xanh/Đỏ của chuỗi, hiển thị dạng 'số Xanh / số Đỏ' (ví dụ 60/40). Số Xanh = phần trăm doanh số nhóm Xanh = Doanh số Xanh ÷ (Doanh số Xanh + Doanh số Đỏ) × 100, làm tròn về số nguyên; số Đỏ = 100 − số Xanh. Doanh số Xanh và Doanh số Đỏ là tổng doanh số của các sản phẩm thuộc nhóm Xanh (nhóm ưu tiên) và nhóm Đỏ trong chuỗi, lũy kế trong tháng đến ngày được chọn. Nếu không có doanh số (mẫu số = 0) → để trống.</t>
        </is>
      </c>
      <c r="C11" s="8" t="inlineStr">
        <is>
          <t>Chỉ tính trên sản phẩm có phân loại Xanh/Đỏ (mỗi sản phẩm luôn thuộc đúng 1 trong 2 nhóm).</t>
        </is>
      </c>
      <c r="D11" s="8" t="inlineStr">
        <is>
          <t>Xanh = nhóm sản phẩm ưu tiên, Đỏ = nhóm còn lại. Hiển thị là cặp tỷ trọng % cộng lại = 100.</t>
        </is>
      </c>
      <c r="E11" s="8" t="inlineStr">
        <is>
          <t>Tỷ lệ Xanh/Đỏ của chuỗi, hiển thị dạng 'số Xanh / số Đỏ' (ví dụ 60/40). Số Xanh = Doanh số Xanh ÷ (Doanh số Xanh + Doanh số Đỏ) × 100, làm tròn về số nguyên; số Đỏ = 100 − số Xanh. Doanh số Xanh và Doanh số Đỏ là tổng doanh số sản phẩm nhóm Xanh (nhóm ưu tiên) và nhóm Đỏ trong chuỗi, mỗi vế đều LŨY KẾ trong tháng đến ngày được chọn (cả tử lẫn mẫu cùng kỳ lũy kế). Mẫu số (Xanh + Đỏ) = 0 → để trống.</t>
        </is>
      </c>
      <c r="F11" s="8" t="inlineStr">
        <is>
          <t>Chỉ tính trên sản phẩm có phân loại Xanh/Đỏ (mỗi sản phẩm luôn thuộc đúng 1 trong 2 nhóm).</t>
        </is>
      </c>
      <c r="G11" s="8" t="inlineStr">
        <is>
          <t>TlXD = Tỷ lệ Xanh/Đỏ. Cùng chỉ tiêu với 'TlXD' (Kênh), 'TlX_TD' (Tập đoàn) và 'TlX' (Ngành) — 4 tên viết tắt khác nhau nhưng CÙNG NGHĨA. Xanh = nhóm sản phẩm ưu tiên, Đỏ = nhóm còn lại; cặp % cộng lại = 100.</t>
        </is>
      </c>
      <c r="H11" s="8" t="inlineStr"/>
    </row>
    <row r="12">
      <c r="A12" s="7" t="inlineStr">
        <is>
          <t>Tỷ trọng SP mới</t>
        </is>
      </c>
      <c r="B12"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12" s="8" t="inlineStr">
        <is>
          <t>Cùng phạm vi với Doanh số thực tế của chuỗi.</t>
        </is>
      </c>
      <c r="D12" s="8" t="inlineStr"/>
      <c r="E12" s="8">
        <f> Doanh thu thực tế (THUẦN) của các SẢN PHẨM MỚI ÷ Doanh thu thực tế (thuần) của toàn bộ chuỗi, ra %, cùng kỳ LŨY KẾ trong tháng đến ngày được chọn. 'Sản phẩm mới' = sản phẩm có phân loại 'Quy hoạch SP' = 'SP mới' (gắn theo sản phẩm trên dòng hóa đơn). Mẫu số = 0 → để trống.</f>
        <v/>
      </c>
      <c r="F12" s="8" t="inlineStr">
        <is>
          <t>Cùng phạm vi với Doanh số thực tế của chuỗi.</t>
        </is>
      </c>
      <c r="G12" s="8" t="inlineStr">
        <is>
          <t>Tử và mẫu đều dùng DOANH THU THUẦN của dòng (không phải doanh số +VAT), dù cột số chính của bảng tên là 'Doanh số thực tế' — KGR nên xác nhận thống nhất tên gọi. Cùng kỳ lũy kế trong tháng đến ngày được chọn.</t>
        </is>
      </c>
      <c r="H12" s="8" t="inlineStr"/>
    </row>
    <row r="13">
      <c r="A13" s="7" t="inlineStr">
        <is>
          <t>Doanh số thực tế</t>
        </is>
      </c>
      <c r="B13" s="8" t="inlineStr">
        <is>
          <t>Tổng doanh số bán hàng THỰC TẾ của chuỗi, cộng dồn (lũy kế) từ đầu tháng đến ngày được chọn ở bộ lọc trên canvas. Mỗi dòng hóa đơn đóng góp doanh số của dòng (hợp nhất hóa đơn bán dấu +, chứng từ điều chỉnh giảm/credit memo dấu −); cộng theo từng chuỗi. Đổi ngày được chọn → đổi số lũy kế.</t>
        </is>
      </c>
      <c r="C13" s="8" t="inlineStr">
        <is>
          <t>Chỉ 2 pháp nhân 'CTCP LD Kangaroo Quốc tế' (VU1) và 'Chi nhánh HCM'; chỉ giao dịch đã hạch toán; loại hàng thanh lý (HTL); loại khách hàng được đánh dấu ký gửi; loại kênh nội bộ.</t>
        </is>
      </c>
      <c r="D13" s="8" t="inlineStr">
        <is>
          <t>Lũy kế trong THÁNG (reset đầu mỗi tháng) đến ngày được chọn.</t>
        </is>
      </c>
      <c r="E13" s="8" t="inlineStr">
        <is>
          <t>Tổng doanh số bán hàng THỰC TẾ của chuỗi, tính theo DÒNG HÓA ĐƠN (asof) và cộng dồn (lũy kế) từ đầu tháng đến ngày được chọn ở bộ lọc canvas. Mỗi dòng hóa đơn đóng góp doanh số của dòng: hóa đơn bán dấu +, chứng từ điều chỉnh giảm (credit memo) dấu −; hợp nhất rồi cộng theo từng chuỗi. Đổi ngày được chọn → đổi số lũy kế.</t>
        </is>
      </c>
      <c r="F13" s="8" t="inlineStr">
        <is>
          <t>Chỉ 2 pháp nhân 'CTCP LD Kangaroo Quốc tế' (VU1) và 'Chi nhánh HCM'; chỉ giao dịch đã hạch toán (đã ghi sổ kế toán kỳ đó); loại hàng thanh lý (HTL); loại khách hàng được đánh dấu ký gửi; loại kênh nội bộ.</t>
        </is>
      </c>
      <c r="G13" s="8" t="inlineStr">
        <is>
          <t>Lũy kế trong THÁNG (reset đầu mỗi tháng) đến ngày được chọn. VU1 = pháp nhân 'CTCP LD Kangaroo Quốc tế'; HTL = Hàng thanh lý. Ở bảng Chuỗi/Kênh, Doanh số thực tế tính theo DÒNG HÓA ĐƠN (khác bảng Tập đoàn/Ngành lấy từ chỉ tiêu Doanh số trong bảng P&amp;L). Mô tả nguồn ('hợp nhất hóa đơn bán dấu +') thống nhất với bảng Kênh.</t>
        </is>
      </c>
      <c r="H13" s="8" t="inlineStr"/>
    </row>
    <row r="14">
      <c r="A14" s="7" t="inlineStr">
        <is>
          <t>LN gộp KD</t>
        </is>
      </c>
      <c r="B14" s="8" t="inlineStr">
        <is>
          <t>Lợi nhuận gộp kinh doanh của chuỗi, lũy kế trong tháng đến ngày được chọn. = Lợi nhuận gộp − Chi phí CKKM − Chi phí lương nhân viên kinh doanh − Chi phí roadshow/hội nghị − Chi phí khác (mỗi thành phần thiếu thì coi = 0). Trong đó: (1) Lợi nhuận gộp = Doanh thu thuần − Giá vốn của các dòng thuộc chuỗi; (2) Chi phí CKKM = chi phí chiết khấu khuyến mại thực tế của chuỗi; (3) Chi phí lương / roadshow-hội nghị / khác là chi phí ƯỚC TÍNH = Doanh thu thực tế của dòng × tỷ lệ % tương ứng theo kế hoạch (tra theo chuỗi + kênh + khoảng ngày hiệu lực bao ngày giao dịch; ngoài khoảng hiệu lực → 0). Tất cả cộng dồn theo chuỗi đến ngày được chọn.</t>
        </is>
      </c>
      <c r="C14" s="8" t="inlineStr">
        <is>
          <t>Cùng phạm vi với Doanh số thực tế (2 pháp nhân VU1 + Chi nhánh HCM; đã hạch toán; loại hàng thanh lý (HTL)/khách ký gửi/kênh nội bộ).</t>
        </is>
      </c>
      <c r="D14" s="8" t="inlineStr">
        <is>
          <t>Các chi phí lương/roadshow/khác là ƯỚC TÍNH theo tỷ lệ kế hoạch, không phải chi phí thực phát sinh.</t>
        </is>
      </c>
      <c r="E14" s="8" t="inlineStr">
        <is>
          <t>Lợi nhuận gộp kinh doanh của chuỗi, lũy kế trong tháng đến ngày được chọn. = Lợi nhuận gộp − CKKM thực tế − Chi phí lương nhân viên kinh doanh − Chi phí roadshow/hội nghị − Chi phí khác (thành phần thiếu → 0). Trong đó: (1) Lợi nhuận gộp = Doanh thu THUẦN − Giá vốn của các dòng thuộc chuỗi; (2) CKKM thực tế = chính cột 'CP CKKM (thực tế)' của bảng (cùng số); (3) Chi phí lương / roadshow-hội nghị / khác là ƯỚC TÍNH = Doanh thu thực tế của dòng × tỷ lệ % tương ứng theo KẾ HOẠCH AOP (tra theo chuỗi + kênh + khoảng ngày hiệu lực bao ngày giao dịch; ngoài khoảng hiệu lực → tỷ lệ = 0 → chi phí ước tính = 0). Cộng dồn theo chuỗi đến ngày được chọn.</t>
        </is>
      </c>
      <c r="F14" s="8" t="inlineStr">
        <is>
          <t>Cùng phạm vi với Doanh số thực tế (2 pháp nhân VU1 + Chi nhánh HCM; đã hạch toán; loại hàng thanh lý (HTL)/khách ký gửi/kênh nội bộ).</t>
        </is>
      </c>
      <c r="G14" s="8" t="inlineStr">
        <is>
          <t>'LN gộp KD' (Lợi nhuận gộp kinh doanh) KHÁC 'Lợi nhuận gộp' thuần (chỉ = Doanh thu − Giá vốn): LN gộp KD đã trừ thêm CKKM/lương/roadshow/khác. Lợi nhuận gộp dùng DOANH THU THUẦN (không +VAT), khác với cột 'Doanh số thực tế' của bảng. Chi phí lương/roadshow/khác là ƯỚC TÍNH theo tỷ lệ kế hoạch AOP, không phải chi phí thực phát sinh; ngoài khoảng hiệu lực AOP → tỷ lệ = 0 nên LN gộp KD KHÔNG trừ các chi phí này (số bị thổi phồng, cần lưu ý). CKKM trong công thức chính là cột 'CP CKKM (thực tế)'.</t>
        </is>
      </c>
      <c r="H14" s="8" t="inlineStr"/>
    </row>
    <row r="15">
      <c r="A15" s="7" t="inlineStr">
        <is>
          <t>CP CKKM (thực tế)</t>
        </is>
      </c>
      <c r="B15" s="8" t="inlineStr">
        <is>
          <t>Tổng chi phí chiết khấu khuyến mại (CKKM) THỰC TẾ của chuỗi, lũy kế trong tháng đến ngày được chọn. Là phần chi phí CKKM khớp vào các dòng hóa đơn của chuỗi; cộng dồn theo chuỗi.</t>
        </is>
      </c>
      <c r="C15" s="8" t="inlineStr">
        <is>
          <t>Cùng phạm vi với Doanh số thực tế của chuỗi.</t>
        </is>
      </c>
      <c r="D15" s="8" t="inlineStr">
        <is>
          <t>CKKM = chi phí chiết khấu/khuyến mãi thương mại. Đây là CKKM thực tế (đối chiếu với 'CP CKKM AOP' là kế hoạch).</t>
        </is>
      </c>
      <c r="E15" s="8" t="inlineStr">
        <is>
          <t>(Giữ nguyên)</t>
        </is>
      </c>
      <c r="F15" s="8" t="inlineStr">
        <is>
          <t>(Giữ nguyên)</t>
        </is>
      </c>
      <c r="G15" s="8" t="inlineStr">
        <is>
          <t>(Giữ nguyên)</t>
        </is>
      </c>
      <c r="H15" s="8" t="inlineStr"/>
    </row>
    <row r="16">
      <c r="A16" s="7" t="inlineStr">
        <is>
          <t>Doanh số AOP − thực tế (còn phải thực hiện)</t>
        </is>
      </c>
      <c r="B16" s="8">
        <f> Doanh số AOP (kế hoạch của chuỗi) − Doanh số thực tế của chuỗi, cùng lũy kế đến ngày được chọn. Cho biết phần doanh số còn phải thực hiện để đạt kế hoạch: số dương = chưa đạt kế hoạch, số âm = đã vượt kế hoạch.</f>
        <v/>
      </c>
      <c r="C16" s="8" t="inlineStr">
        <is>
          <t>—</t>
        </is>
      </c>
      <c r="D16" s="8" t="inlineStr">
        <is>
          <t>Hiệu của 2 cột 'Doanh số AOP' và 'Doanh số thực tế' cùng bảng.</t>
        </is>
      </c>
      <c r="E16" s="8">
        <f> Doanh số AOP (kế hoạch CẢ THÁNG của chuỗi) − Doanh số thực tế của chuỗi (LŨY KẾ đến ngày được chọn). Số dương = chưa đạt kế hoạch (còn phải thực hiện), số âm = đã vượt kế hoạch.</f>
        <v/>
      </c>
      <c r="F16" s="8" t="inlineStr">
        <is>
          <t>—</t>
        </is>
      </c>
      <c r="G16" s="8" t="inlineStr">
        <is>
          <t>Hiệu của 2 cột 'Doanh số AOP' và 'Doanh số thực tế' cùng bảng, cùng cơ sở. Lưu ý quy ước dấu NGƯỢC với cách trình bày 'thực tế − kế hoạch' thường gặp: ở đây dương = còn thiếu so với kế hoạch. AOP là kế hoạch cả tháng, thực tế là lũy kế đến ngày được chọn.</t>
        </is>
      </c>
      <c r="H16" s="8" t="inlineStr"/>
    </row>
    <row r="17">
      <c r="A17" s="7" t="inlineStr">
        <is>
          <t>Lợi nhuận AOP − thực tế (còn phải thực hiện)</t>
        </is>
      </c>
      <c r="B17" s="8">
        <f> Lợi nhuận giao (kế hoạch của chuỗi) − LN gộp KD (lợi nhuận gộp kinh doanh thực tế của chuỗi), cùng lũy kế đến ngày được chọn. Cho biết phần lợi nhuận còn phải thực hiện để đạt kế hoạch: số dương = chưa đạt, số âm = đã vượt.</f>
        <v/>
      </c>
      <c r="C17" s="8" t="inlineStr">
        <is>
          <t>—</t>
        </is>
      </c>
      <c r="D17" s="8" t="inlineStr">
        <is>
          <t>Hiệu của cột 'Lợi nhuận giao' (kế hoạch) và 'LN gộp KD' (thực tế).</t>
        </is>
      </c>
      <c r="E17" s="8">
        <f> Lợi nhuận giao (AOP, kế hoạch của chuỗi) − LN gộp KD (lợi nhuận gộp kinh doanh THỰC TẾ của chuỗi), cùng lũy kế đến ngày được chọn. Số dương = chưa đạt, số âm = đã vượt.</f>
        <v/>
      </c>
      <c r="F17" s="8" t="inlineStr">
        <is>
          <t>—</t>
        </is>
      </c>
      <c r="G17" s="8" t="inlineStr">
        <is>
          <t>Hiệu của 'Lợi nhuận giao' (kế hoạch) và 'LN gộp KD' (thực tế). LƯU Ý LIÊN BẢNG: vế thực tế đem trừ KHÁC NHAU theo bảng — Chuỗi &amp; Kênh dùng LN gộp KD; Tập đoàn dùng LN sau thuế; Ngành dùng Lợi nhuận gộp. Đừng coi 4 bảng cùng một định nghĩa.</t>
        </is>
      </c>
      <c r="H17" s="8" t="inlineStr"/>
    </row>
    <row r="18">
      <c r="A18" s="7" t="inlineStr">
        <is>
          <t>CKKM AOP − thực tế (còn được sử dụng)</t>
        </is>
      </c>
      <c r="B18" s="8">
        <f> CP CKKM AOP (chi phí khuyến mại kế hoạch của chuỗi) − CP CKKM thực tế của chuỗi, cùng lũy kế đến ngày được chọn. Cho biết phần ngân sách khuyến mại còn được sử dụng: số dương = còn dư ngân sách, số âm = đã chi vượt kế hoạch.</f>
        <v/>
      </c>
      <c r="C18" s="8" t="inlineStr">
        <is>
          <t>—</t>
        </is>
      </c>
      <c r="D18" s="8" t="inlineStr">
        <is>
          <t>Hiệu của 'CP CKKM AOP' (kế hoạch) và 'CP CKKM thực tế'.</t>
        </is>
      </c>
      <c r="E18" s="8" t="inlineStr">
        <is>
          <t>(Giữ nguyên)</t>
        </is>
      </c>
      <c r="F18" s="8" t="inlineStr">
        <is>
          <t>(Giữ nguyên)</t>
        </is>
      </c>
      <c r="G18" s="8" t="inlineStr">
        <is>
          <t>(Giữ nguyên)</t>
        </is>
      </c>
      <c r="H18" s="8" t="inlineStr"/>
    </row>
    <row r="19">
      <c r="A19" s="5" t="inlineStr">
        <is>
          <t>DAILY_KÊNH (theo Kênh)</t>
        </is>
      </c>
    </row>
    <row r="20" ht="28" customHeight="1">
      <c r="A20" s="6" t="inlineStr">
        <is>
          <t>Cột / Chỉ tiêu</t>
        </is>
      </c>
      <c r="B20" s="6" t="inlineStr">
        <is>
          <t>Cách tính (logic nghiệp vụ)</t>
        </is>
      </c>
      <c r="C20" s="6" t="inlineStr">
        <is>
          <t>Loại trừ / Bộ lọc</t>
        </is>
      </c>
      <c r="D20" s="6" t="inlineStr">
        <is>
          <t>Ghi chú</t>
        </is>
      </c>
      <c r="E20" s="6" t="inlineStr">
        <is>
          <t>Cách tính (QA)</t>
        </is>
      </c>
      <c r="F20" s="6" t="inlineStr">
        <is>
          <t>Loại trừ-Bộ lọc (QA)</t>
        </is>
      </c>
      <c r="G20" s="6" t="inlineStr">
        <is>
          <t>Ghi chú (QA)</t>
        </is>
      </c>
      <c r="H20" s="6" t="inlineStr">
        <is>
          <t>KGR xác nhận</t>
        </is>
      </c>
    </row>
    <row r="21">
      <c r="A21" s="7" t="inlineStr">
        <is>
          <t>Nhóm Kênh</t>
        </is>
      </c>
      <c r="B21" s="8" t="inlineStr">
        <is>
          <t>Nhãn phân nhóm: nhóm kênh bán mà kênh của dòng thuộc về (cấp gộp trên của kênh). Bảng này gom số liệu theo từng Kênh; nhóm kênh dùng để xếp các kênh vào cùng nhóm.</t>
        </is>
      </c>
      <c r="C21" s="8" t="inlineStr">
        <is>
          <t>—</t>
        </is>
      </c>
      <c r="D21" s="8" t="inlineStr">
        <is>
          <t>Cột chiều (dimension), không phải số liệu.</t>
        </is>
      </c>
      <c r="E21" s="8" t="inlineStr">
        <is>
          <t>(Giữ nguyên)</t>
        </is>
      </c>
      <c r="F21" s="8" t="inlineStr">
        <is>
          <t>(Giữ nguyên)</t>
        </is>
      </c>
      <c r="G21" s="8" t="inlineStr">
        <is>
          <t>(Giữ nguyên)</t>
        </is>
      </c>
      <c r="H21" s="8" t="inlineStr"/>
    </row>
    <row r="22">
      <c r="A22" s="7" t="inlineStr">
        <is>
          <t>Tên Kênh</t>
        </is>
      </c>
      <c r="B22" s="8" t="inlineStr">
        <is>
          <t>Nhãn phân nhóm: tên kênh bán hàng của dòng. Mỗi dòng của bảng là một kênh.</t>
        </is>
      </c>
      <c r="C22" s="8" t="inlineStr">
        <is>
          <t>—</t>
        </is>
      </c>
      <c r="D22" s="8" t="inlineStr">
        <is>
          <t>Cột chiều (dimension), không phải số liệu.</t>
        </is>
      </c>
      <c r="E22" s="8" t="inlineStr">
        <is>
          <t>(Giữ nguyên)</t>
        </is>
      </c>
      <c r="F22" s="8" t="inlineStr">
        <is>
          <t>(Giữ nguyên)</t>
        </is>
      </c>
      <c r="G22" s="8" t="inlineStr">
        <is>
          <t>(Giữ nguyên)</t>
        </is>
      </c>
      <c r="H22" s="8" t="inlineStr"/>
    </row>
    <row r="23">
      <c r="A23" s="7" t="inlineStr">
        <is>
          <t>% CKKM (AOP)</t>
        </is>
      </c>
      <c r="B23" s="8" t="inlineStr">
        <is>
          <t>Tỷ lệ % chi phí chiết khấu khuyến mại theo KẾ HOẠCH (AOP) áp cho kênh đó. Lấy trực tiếp tỷ lệ % CKKM trong bản kế hoạch AOP, tra theo kênh + chuỗi + kỳ (khoảng ngày hiệu lực bao ngày giao dịch); là giá trị TRUNG BÌNH cho kênh khi khớp nhiều dòng kế hoạch. Nếu kỳ đó không có kế hoạch → để trống.</t>
        </is>
      </c>
      <c r="C23" s="8" t="inlineStr">
        <is>
          <t>—</t>
        </is>
      </c>
      <c r="D23" s="8" t="inlineStr">
        <is>
          <t>Là tỷ lệ KẾ HOẠCH (AOP), không phải thực tế.</t>
        </is>
      </c>
      <c r="E23" s="8" t="inlineStr">
        <is>
          <t>Tỷ lệ % chi phí chiết khấu khuyến mại theo KẾ HOẠCH (AOP) áp cho kênh đó. Lấy tỷ lệ % CKKM trong bản kế hoạch AOP, tra theo kênh + chuỗi + kỳ (khoảng ngày hiệu lực bao ngày giao dịch); khi khớp nhiều dòng kế hoạch → lấy giá trị TRUNG BÌNH cho kênh. Nếu kỳ đó không có kế hoạch → để trống.</t>
        </is>
      </c>
      <c r="F23" s="8" t="inlineStr">
        <is>
          <t>—</t>
        </is>
      </c>
      <c r="G23" s="8" t="inlineStr">
        <is>
          <t>Là tỷ lệ KẾ HOẠCH (AOP), không phải thực tế. Cùng chỉ tiêu và CÙNG phép gộp (TRUNG BÌNH) với '% CKKM AOP' bảng Chuỗi và '% CKKM (AOP)' bảng Tập đoàn/Ngành — chỉ khác cách viết nhãn và thứ tự liệt kê khóa tra (kênh+chuỗi+kỳ vs chuỗi+kênh+kỳ), cùng một tập hợp.</t>
        </is>
      </c>
      <c r="H23" s="8" t="inlineStr"/>
    </row>
    <row r="24">
      <c r="A24" s="7" t="inlineStr">
        <is>
          <t>% Lợi nhuận AOP</t>
        </is>
      </c>
      <c r="B24" s="8" t="inlineStr">
        <is>
          <t>Tỷ lệ % lợi nhuận theo KẾ HOẠCH (AOP) áp cho kênh đó. Lấy trực tiếp tỷ lệ % lợi nhuận trong bản kế hoạch AOP, tra theo kênh + chuỗi + kỳ; gộp về 1 giá trị đại diện cho kênh. Nếu kỳ đó không có kế hoạch → để trống.</t>
        </is>
      </c>
      <c r="C24" s="8" t="inlineStr">
        <is>
          <t>—</t>
        </is>
      </c>
      <c r="D24" s="8" t="inlineStr">
        <is>
          <t>Là tỷ lệ KẾ HOẠCH (AOP), không phải thực tế.</t>
        </is>
      </c>
      <c r="E24" s="8" t="inlineStr">
        <is>
          <t>Tỷ lệ % lợi nhuận theo KẾ HOẠCH (AOP) áp cho kênh đó. Lấy tỷ lệ % lợi nhuận trong bản kế hoạch AOP, tra theo kênh + chuỗi + kỳ; khi khớp nhiều dòng AOP → lấy giá trị TRUNG BÌNH cho kênh. Nếu kỳ đó không có kế hoạch → để trống.</t>
        </is>
      </c>
      <c r="F24" s="8" t="inlineStr">
        <is>
          <t>—</t>
        </is>
      </c>
      <c r="G24" s="8" t="inlineStr">
        <is>
          <t>Là tỷ lệ KẾ HOẠCH (AOP), không phải thực tế. Mẫu số % lợi nhuận do AOP định nghĩa sẵn (lấy nguyên tỷ lệ kế hoạch). Cùng chỉ tiêu với '% Lợi nhuận AOP'/'% Lợi nhuận (AOP)' ở các bảng khác (chỉ khác nhãn).</t>
        </is>
      </c>
      <c r="H24" s="8" t="inlineStr"/>
    </row>
    <row r="25">
      <c r="A25" s="7" t="inlineStr">
        <is>
          <t>Lợi nhuận giao</t>
        </is>
      </c>
      <c r="B25" s="8" t="inlineStr">
        <is>
          <t>Mức lợi nhuận được GIAO theo kế hoạch (AOP) cho kênh trong kỳ. Lấy trực tiếp số lợi nhuận giao trong bản kế hoạch AOP, tra theo kênh + chuỗi + kỳ; cộng dồn các dòng kế hoạch khớp kênh. Nếu kỳ đó không có kế hoạch → để trống.</t>
        </is>
      </c>
      <c r="C25" s="8" t="inlineStr">
        <is>
          <t>—</t>
        </is>
      </c>
      <c r="D25" s="8" t="inlineStr">
        <is>
          <t>Là số KẾ HOẠCH (AOP), không phải thực tế.</t>
        </is>
      </c>
      <c r="E25" s="8" t="inlineStr">
        <is>
          <t>Mức lợi nhuận được GIAO theo kế hoạch (AOP) cho kênh trong kỳ. Lấy số lợi nhuận giao trong bản kế hoạch AOP, tra theo kênh + chuỗi + kỳ; CỘNG DỒN (SUM) các dòng kế hoạch khớp kênh. Nếu kỳ đó không có kế hoạch → để trống.</t>
        </is>
      </c>
      <c r="F25" s="8" t="inlineStr">
        <is>
          <t>—</t>
        </is>
      </c>
      <c r="G25" s="8" t="inlineStr">
        <is>
          <t>Là số KẾ HOẠCH (AOP), không phải thực tế. Số tuyệt đối thì cộng dồn khi khớp nhiều dòng AOP (khác cột % lấy trung bình). Cùng chỉ tiêu với 'LN Giao (AOP)' bảng Tập đoàn/Ngành (chỉ khác nhãn).</t>
        </is>
      </c>
      <c r="H25" s="8" t="inlineStr"/>
    </row>
    <row r="26">
      <c r="A26" s="7" t="inlineStr">
        <is>
          <t>Doanh số AOP</t>
        </is>
      </c>
      <c r="B26" s="8" t="inlineStr">
        <is>
          <t>Doanh số KẾ HOẠCH (AOP) giao cho kênh trong kỳ. Lấy trực tiếp số doanh số kế hoạch trong bản kế hoạch AOP, tra theo kênh + chuỗi + kỳ; cộng dồn các dòng kế hoạch khớp kênh. Nếu kỳ đó không có kế hoạch → để trống.</t>
        </is>
      </c>
      <c r="C26" s="8" t="inlineStr">
        <is>
          <t>—</t>
        </is>
      </c>
      <c r="D26" s="8" t="inlineStr">
        <is>
          <t>Là số KẾ HOẠCH (AOP), không phải thực tế.</t>
        </is>
      </c>
      <c r="E26" s="8" t="inlineStr">
        <is>
          <t>Doanh số KẾ HOẠCH (AOP) giao cho kênh trong kỳ — là KẾ HOẠCH CẢ THÁNG của kỳ. Lấy số doanh số kế hoạch trong bản kế hoạch AOP, tra theo kênh + chuỗi + kỳ; cộng dồn các dòng kế hoạch khớp kênh. Nếu kỳ đó không có kế hoạch → để trống.</t>
        </is>
      </c>
      <c r="F26" s="8" t="inlineStr">
        <is>
          <t>—</t>
        </is>
      </c>
      <c r="G26" s="8" t="inlineStr">
        <is>
          <t>Là số KẾ HOẠCH (AOP), không phải thực tế; cơ sở do bản kế hoạch AOP quy định (lấy nguyên). Cùng chỉ tiêu với 'Doanh số (AOP)' bảng Tập đoàn/Ngành (chỉ khác nhãn). Khi so với Doanh số thực tế: AOP = kế hoạch cả tháng, thực tế = lũy kế đến ngày được chọn.</t>
        </is>
      </c>
      <c r="H26" s="8" t="inlineStr"/>
    </row>
    <row r="27">
      <c r="A27" s="7" t="inlineStr">
        <is>
          <t>CP CKKM AOP</t>
        </is>
      </c>
      <c r="B27" s="8" t="inlineStr">
        <is>
          <t>Chi phí chiết khấu khuyến mại (CKKM) theo KẾ HOẠCH (AOP) giao cho kênh trong kỳ. Lấy trực tiếp số tiền CKKM kế hoạch trong bản kế hoạch AOP, tra theo kênh + chuỗi + kỳ; cộng dồn các dòng kế hoạch khớp kênh. Nếu kỳ đó không có kế hoạch → để trống.</t>
        </is>
      </c>
      <c r="C27" s="8" t="inlineStr">
        <is>
          <t>—</t>
        </is>
      </c>
      <c r="D27" s="8" t="inlineStr">
        <is>
          <t>CKKM = chi phí chiết khấu/khuyến mãi thương mại. Là số KẾ HOẠCH (AOP), không phải thực tế.</t>
        </is>
      </c>
      <c r="E27" s="8" t="inlineStr">
        <is>
          <t>(Giữ nguyên)</t>
        </is>
      </c>
      <c r="F27" s="8" t="inlineStr">
        <is>
          <t>(Giữ nguyên)</t>
        </is>
      </c>
      <c r="G27" s="8" t="inlineStr">
        <is>
          <t>(Giữ nguyên)</t>
        </is>
      </c>
      <c r="H27" s="8" t="inlineStr"/>
    </row>
    <row r="28">
      <c r="A28" s="7" t="inlineStr">
        <is>
          <t>TlXD</t>
        </is>
      </c>
      <c r="B28" s="8" t="inlineStr">
        <is>
          <t>Tỷ lệ Xanh/Đỏ của kênh, hiển thị dạng 'số Xanh / số Đỏ' (ví dụ 60/40). Số Xanh = phần trăm doanh số nhóm Xanh = Doanh số Xanh ÷ (Doanh số Xanh + Doanh số Đỏ) × 100, làm tròn về số nguyên; số Đỏ = 100 − số Xanh. Doanh số Xanh và Doanh số Đỏ là tổng doanh số sản phẩm nhóm Xanh (ưu tiên) và nhóm Đỏ trong kênh, lũy kế trong tháng đến ngày được chọn. Nếu mẫu số = 0 → để trống.</t>
        </is>
      </c>
      <c r="C28" s="8" t="inlineStr">
        <is>
          <t>Chỉ tính trên sản phẩm có phân loại Xanh/Đỏ (mỗi sản phẩm luôn thuộc đúng 1 trong 2 nhóm).</t>
        </is>
      </c>
      <c r="D28" s="8" t="inlineStr">
        <is>
          <t>Xanh = nhóm sản phẩm ưu tiên, Đỏ = nhóm còn lại. Hiển thị là cặp tỷ trọng % cộng lại = 100.</t>
        </is>
      </c>
      <c r="E28" s="8" t="inlineStr">
        <is>
          <t>Tỷ lệ Xanh/Đỏ của kênh, hiển thị dạng 'số Xanh / số Đỏ'. Số Xanh = Doanh số Xanh ÷ (Doanh số Xanh + Doanh số Đỏ) × 100, làm tròn về số nguyên; số Đỏ = 100 − số Xanh. Doanh số Xanh/Đỏ là tổng doanh số sản phẩm nhóm Xanh (ưu tiên) và nhóm Đỏ trong kênh, mỗi vế lũy kế trong tháng đến ngày được chọn. Mẫu số = 0 → để trống.</t>
        </is>
      </c>
      <c r="F28" s="8" t="inlineStr">
        <is>
          <t>Chỉ tính trên sản phẩm có phân loại Xanh/Đỏ (mỗi sản phẩm luôn thuộc đúng 1 trong 2 nhóm).</t>
        </is>
      </c>
      <c r="G28" s="8" t="inlineStr">
        <is>
          <t>TlXD = Tỷ lệ Xanh/Đỏ; cùng chỉ tiêu với 'TlXD' (Chuỗi), 'TlX_TD' (Tập đoàn), 'TlX' (Ngành) — 4 viết tắt khác nhau, cùng nghĩa. Xanh = nhóm ưu tiên, Đỏ = nhóm còn lại; cặp % cộng lại = 100.</t>
        </is>
      </c>
      <c r="H28" s="8" t="inlineStr"/>
    </row>
    <row r="29">
      <c r="A29" s="7" t="inlineStr">
        <is>
          <t>Tỷ trọng SP mới</t>
        </is>
      </c>
      <c r="B29"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29" s="8" t="inlineStr">
        <is>
          <t>Cùng phạm vi với Doanh số thực tế của kênh.</t>
        </is>
      </c>
      <c r="D29" s="8" t="inlineStr"/>
      <c r="E29" s="8">
        <f> Doanh thu thực tế (THUẦN) của các SẢN PHẨM MỚI ÷ Doanh thu thực tế (thuần) của toàn bộ kênh, ra %, cùng kỳ LŨY KẾ trong tháng đến ngày được chọn. 'Sản phẩm mới' = sản phẩm có phân loại 'Quy hoạch SP' = 'SP mới' (gắn theo sản phẩm trên dòng hóa đơn). Mẫu số = 0 → để trống.</f>
        <v/>
      </c>
      <c r="F29" s="8" t="inlineStr">
        <is>
          <t>Cùng phạm vi với Doanh số thực tế của kênh.</t>
        </is>
      </c>
      <c r="G29" s="8" t="inlineStr">
        <is>
          <t>Tử và mẫu dùng DOANH THU THUẦN (không +VAT), dù cột số chính của bảng tên 'Doanh số thực tế' — KGR nên xác nhận thống nhất tên gọi. Cùng kỳ lũy kế đến ngày được chọn.</t>
        </is>
      </c>
      <c r="H29" s="8" t="inlineStr"/>
    </row>
    <row r="30">
      <c r="A30" s="7" t="inlineStr">
        <is>
          <t>Doanh số thực tế</t>
        </is>
      </c>
      <c r="B30" s="8" t="inlineStr">
        <is>
          <t>Tổng doanh số bán hàng THỰC TẾ của kênh, cộng dồn (lũy kế) từ đầu tháng đến ngày được chọn ở bộ lọc trên canvas. Mỗi dòng hóa đơn đóng góp doanh số của dòng (hóa đơn bán dấu +, chứng từ điều chỉnh giảm/credit memo dấu −); cộng theo từng kênh. Đổi ngày được chọn → đổi số lũy kế.</t>
        </is>
      </c>
      <c r="C30" s="8" t="inlineStr">
        <is>
          <t>Chỉ 2 pháp nhân 'CTCP LD Kangaroo Quốc tế' (VU1) và 'Chi nhánh HCM'; chỉ giao dịch đã hạch toán; loại hàng thanh lý (HTL); loại khách hàng được đánh dấu ký gửi; loại kênh nội bộ.</t>
        </is>
      </c>
      <c r="D30" s="8" t="inlineStr">
        <is>
          <t>Lũy kế trong THÁNG (reset đầu mỗi tháng) đến ngày được chọn.</t>
        </is>
      </c>
      <c r="E30" s="8" t="inlineStr">
        <is>
          <t>Tổng doanh số bán hàng THỰC TẾ của kênh, tính theo DÒNG HÓA ĐƠN (asof) và cộng dồn (lũy kế) từ đầu tháng đến ngày được chọn. Mỗi dòng hóa đơn đóng góp doanh số của dòng: hóa đơn bán dấu +, chứng từ điều chỉnh giảm (credit memo) dấu −; hợp nhất rồi cộng theo từng kênh. Đổi ngày được chọn → đổi số lũy kế.</t>
        </is>
      </c>
      <c r="F30" s="8" t="inlineStr">
        <is>
          <t>Chỉ 2 pháp nhân 'CTCP LD Kangaroo Quốc tế' (VU1) và 'Chi nhánh HCM'; chỉ giao dịch đã hạch toán; loại hàng thanh lý (HTL); loại khách hàng được đánh dấu ký gửi; loại kênh nội bộ.</t>
        </is>
      </c>
      <c r="G30" s="8" t="inlineStr">
        <is>
          <t>Lũy kế trong THÁNG (reset đầu mỗi tháng) đến ngày được chọn. VU1 = pháp nhân 'CTCP LD Kangaroo Quốc tế'; HTL = Hàng thanh lý. Cách tính theo DÒNG HÓA ĐƠN (giống bảng Chuỗi, khác bảng Tập đoàn/Ngành lấy từ chỉ tiêu Doanh số bảng P&amp;L). Mô tả nguồn ('hợp nhất hóa đơn bán dấu +') thống nhất với bảng Chuỗi.</t>
        </is>
      </c>
      <c r="H30" s="8" t="inlineStr"/>
    </row>
    <row r="31">
      <c r="A31" s="7" t="inlineStr">
        <is>
          <t>LN gộp KD</t>
        </is>
      </c>
      <c r="B31" s="8" t="inlineStr">
        <is>
          <t>Lợi nhuận gộp kinh doanh của kênh, lũy kế trong tháng đến ngày được chọn. = Lợi nhuận gộp − Chi phí CKKM − Chi phí lương nhân viên kinh doanh − Chi phí roadshow/hội nghị − Chi phí khác (mỗi thành phần thiếu thì coi = 0). Trong đó: (1) Lợi nhuận gộp = Doanh thu thuần − Giá vốn của các dòng thuộc kênh; (2) Chi phí CKKM = chi phí chiết khấu khuyến mại thực tế của kênh; (3) Chi phí lương / roadshow-hội nghị / khác là chi phí ƯỚC TÍNH = Doanh thu thực tế của dòng × tỷ lệ % tương ứng theo kế hoạch (tra theo kênh + chuỗi + khoảng ngày hiệu lực bao ngày giao dịch; ngoài khoảng hiệu lực → 0). Tất cả cộng dồn theo kênh đến ngày được chọn.</t>
        </is>
      </c>
      <c r="C31" s="8" t="inlineStr">
        <is>
          <t>Cùng phạm vi với Doanh số thực tế (2 pháp nhân VU1 + Chi nhánh HCM; đã hạch toán; loại hàng thanh lý (HTL)/khách ký gửi/kênh nội bộ).</t>
        </is>
      </c>
      <c r="D31" s="8" t="inlineStr">
        <is>
          <t>Các chi phí lương/roadshow/khác là ƯỚC TÍNH theo tỷ lệ kế hoạch, không phải chi phí thực phát sinh.</t>
        </is>
      </c>
      <c r="E31" s="8" t="inlineStr">
        <is>
          <t>Lợi nhuận gộp kinh doanh của kênh, lũy kế trong tháng đến ngày được chọn. = Lợi nhuận gộp − CKKM thực tế − Chi phí lương nhân viên kinh doanh − Chi phí roadshow/hội nghị − Chi phí khác (thành phần thiếu → 0). Trong đó: (1) Lợi nhuận gộp = Doanh thu THUẦN − Giá vốn của các dòng thuộc kênh; (2) CKKM thực tế = chính cột 'CP CKKM (thực tế)' của bảng (cùng số); (3) Chi phí lương / roadshow-hội nghị / khác là ƯỚC TÍNH = Doanh thu thực tế của dòng × tỷ lệ % tương ứng theo KẾ HOẠCH AOP (tra theo kênh + chuỗi + khoảng ngày hiệu lực bao ngày giao dịch; ngoài khoảng hiệu lực → tỷ lệ = 0 → chi phí = 0). Cộng dồn theo kênh đến ngày được chọn.</t>
        </is>
      </c>
      <c r="F31" s="8" t="inlineStr">
        <is>
          <t>Cùng phạm vi với Doanh số thực tế (2 pháp nhân VU1 + Chi nhánh HCM; đã hạch toán; loại hàng thanh lý (HTL)/khách ký gửi/kênh nội bộ).</t>
        </is>
      </c>
      <c r="G31" s="8" t="inlineStr">
        <is>
          <t>'LN gộp KD' KHÁC 'Lợi nhuận gộp' thuần (= Doanh thu − Giá vốn): đã trừ thêm CKKM/lương/roadshow/khác. Lợi nhuận gộp dùng DOANH THU THUẦN (không +VAT), khác cột 'Doanh số thực tế'. CKKM trong công thức = cột 'CP CKKM (thực tế)'. Chi phí lương/roadshow/khác là ƯỚC TÍNH theo tỷ lệ kế hoạch AOP; khi ngoài khoảng hiệu lực AOP → tỷ lệ = 0 nên không trừ các chi phí này, LN gộp KD bị THỔI PHỒNG (dễ tưởng lãi cao) — cần lưu ý.</t>
        </is>
      </c>
      <c r="H31" s="8" t="inlineStr"/>
    </row>
    <row r="32">
      <c r="A32" s="7" t="inlineStr">
        <is>
          <t>CP CKKM (thực tế)</t>
        </is>
      </c>
      <c r="B32" s="8" t="inlineStr">
        <is>
          <t>Tổng chi phí chiết khấu khuyến mại (CKKM) THỰC TẾ của kênh, lũy kế trong tháng đến ngày được chọn. Là phần chi phí CKKM khớp vào các dòng hóa đơn của kênh; cộng dồn theo kênh.</t>
        </is>
      </c>
      <c r="C32" s="8" t="inlineStr">
        <is>
          <t>Cùng phạm vi với Doanh số thực tế của kênh.</t>
        </is>
      </c>
      <c r="D32" s="8" t="inlineStr">
        <is>
          <t>CKKM = chi phí chiết khấu/khuyến mãi thương mại. Đây là CKKM thực tế (đối chiếu 'CP CKKM AOP' là kế hoạch).</t>
        </is>
      </c>
      <c r="E32" s="8" t="inlineStr">
        <is>
          <t>(Giữ nguyên)</t>
        </is>
      </c>
      <c r="F32" s="8" t="inlineStr">
        <is>
          <t>(Giữ nguyên)</t>
        </is>
      </c>
      <c r="G32" s="8" t="inlineStr">
        <is>
          <t>(Giữ nguyên)</t>
        </is>
      </c>
      <c r="H32" s="8" t="inlineStr"/>
    </row>
    <row r="33">
      <c r="A33" s="7" t="inlineStr">
        <is>
          <t>Doanh số AOP − thực tế (còn phải thực hiện)</t>
        </is>
      </c>
      <c r="B33" s="8">
        <f> Doanh số AOP (kế hoạch của kênh) − Doanh số thực tế của kênh, cùng lũy kế đến ngày được chọn. Cho biết phần doanh số còn phải thực hiện để đạt kế hoạch: số dương = chưa đạt, số âm = đã vượt.</f>
        <v/>
      </c>
      <c r="C33" s="8" t="inlineStr">
        <is>
          <t>—</t>
        </is>
      </c>
      <c r="D33" s="8" t="inlineStr">
        <is>
          <t>Hiệu của 2 cột 'Doanh số AOP' và 'Doanh số thực tế' cùng bảng.</t>
        </is>
      </c>
      <c r="E33" s="8">
        <f> Doanh số AOP (kế hoạch CẢ THÁNG của kênh) − Doanh số thực tế của kênh (LŨY KẾ đến ngày được chọn). Số dương = chưa đạt, số âm = đã vượt.</f>
        <v/>
      </c>
      <c r="F33" s="8" t="inlineStr">
        <is>
          <t>—</t>
        </is>
      </c>
      <c r="G33" s="8" t="inlineStr">
        <is>
          <t>Hiệu của 2 cột 'Doanh số AOP' và 'Doanh số thực tế' cùng bảng, cùng cơ sở. Quy ước dấu: dương = còn thiếu so với kế hoạch (ngược với 'thực tế − kế hoạch').</t>
        </is>
      </c>
      <c r="H33" s="8" t="inlineStr"/>
    </row>
    <row r="34">
      <c r="A34" s="7" t="inlineStr">
        <is>
          <t>Lợi nhuận AOP − thực tế (còn phải thực hiện)</t>
        </is>
      </c>
      <c r="B34" s="8">
        <f> Lợi nhuận giao (kế hoạch của kênh) − LN gộp KD (lợi nhuận gộp kinh doanh thực tế của kênh), cùng lũy kế đến ngày được chọn. Cho biết phần lợi nhuận còn phải thực hiện để đạt kế hoạch: số dương = chưa đạt, số âm = đã vượt.</f>
        <v/>
      </c>
      <c r="C34" s="8" t="inlineStr">
        <is>
          <t>—</t>
        </is>
      </c>
      <c r="D34" s="8" t="inlineStr">
        <is>
          <t>Hiệu của 'Lợi nhuận giao' (kế hoạch) và 'LN gộp KD' (thực tế).</t>
        </is>
      </c>
      <c r="E34" s="8">
        <f> Lợi nhuận giao (AOP, kế hoạch của kênh) − LN gộp KD (lợi nhuận gộp kinh doanh THỰC TẾ của kênh), cùng lũy kế đến ngày được chọn. Số dương = chưa đạt, số âm = đã vượt.</f>
        <v/>
      </c>
      <c r="F34" s="8" t="inlineStr">
        <is>
          <t>—</t>
        </is>
      </c>
      <c r="G34" s="8" t="inlineStr">
        <is>
          <t>Hiệu của 'Lợi nhuận giao' (kế hoạch) và 'LN gộp KD' (thực tế). LƯU Ý LIÊN BẢNG: vế thực tế đem trừ KHÁC NHAU theo bảng — Chuỗi &amp; Kênh dùng LN gộp KD; Tập đoàn dùng LN sau thuế; Ngành dùng Lợi nhuận gộp. Đừng coi 4 bảng cùng một định nghĩa.</t>
        </is>
      </c>
      <c r="H34" s="8" t="inlineStr"/>
    </row>
    <row r="35">
      <c r="A35" s="7" t="inlineStr">
        <is>
          <t>CKKM AOP − thực tế (còn được sử dụng)</t>
        </is>
      </c>
      <c r="B35" s="8">
        <f> CP CKKM AOP (chi phí khuyến mại kế hoạch của kênh) − CP CKKM thực tế của kênh, cùng lũy kế đến ngày được chọn. Cho biết phần ngân sách khuyến mại còn được sử dụng: số dương = còn dư, số âm = đã chi vượt.</f>
        <v/>
      </c>
      <c r="C35" s="8" t="inlineStr">
        <is>
          <t>—</t>
        </is>
      </c>
      <c r="D35" s="8" t="inlineStr">
        <is>
          <t>Hiệu của 'CP CKKM AOP' (kế hoạch) và 'CP CKKM thực tế'.</t>
        </is>
      </c>
      <c r="E35" s="8" t="inlineStr">
        <is>
          <t>(Giữ nguyên)</t>
        </is>
      </c>
      <c r="F35" s="8" t="inlineStr">
        <is>
          <t>(Giữ nguyên)</t>
        </is>
      </c>
      <c r="G35" s="8" t="inlineStr">
        <is>
          <t>(Giữ nguyên)</t>
        </is>
      </c>
      <c r="H35" s="8" t="inlineStr"/>
    </row>
    <row r="36">
      <c r="A36" s="5" t="inlineStr">
        <is>
          <t>DAILY_TẬP ĐOÀN</t>
        </is>
      </c>
    </row>
    <row r="37" ht="28" customHeight="1">
      <c r="A37" s="6" t="inlineStr">
        <is>
          <t>Cột / Chỉ tiêu</t>
        </is>
      </c>
      <c r="B37" s="6" t="inlineStr">
        <is>
          <t>Cách tính (logic nghiệp vụ)</t>
        </is>
      </c>
      <c r="C37" s="6" t="inlineStr">
        <is>
          <t>Loại trừ / Bộ lọc</t>
        </is>
      </c>
      <c r="D37" s="6" t="inlineStr">
        <is>
          <t>Ghi chú</t>
        </is>
      </c>
      <c r="E37" s="6" t="inlineStr">
        <is>
          <t>Cách tính (QA)</t>
        </is>
      </c>
      <c r="F37" s="6" t="inlineStr">
        <is>
          <t>Loại trừ-Bộ lọc (QA)</t>
        </is>
      </c>
      <c r="G37" s="6" t="inlineStr">
        <is>
          <t>Ghi chú (QA)</t>
        </is>
      </c>
      <c r="H37" s="6" t="inlineStr">
        <is>
          <t>KGR xác nhận</t>
        </is>
      </c>
    </row>
    <row r="38">
      <c r="A38" s="7" t="inlineStr">
        <is>
          <t>% CKKM (AOP)</t>
        </is>
      </c>
      <c r="B38" s="8" t="inlineStr">
        <is>
          <t>Tỷ lệ % chi phí chiết khấu khuyến mại theo KẾ HOẠCH (AOP) cấp toàn tập đoàn. Lấy tỷ lệ % CKKM trong bản kế hoạch AOP của tập đoàn theo kỳ; là giá trị TRUNG BÌNH các dòng kế hoạch của chỉ tiêu. Nếu kỳ đó không có kế hoạch → để trống.</t>
        </is>
      </c>
      <c r="C38" s="8" t="inlineStr">
        <is>
          <t>—</t>
        </is>
      </c>
      <c r="D38" s="8" t="inlineStr">
        <is>
          <t>Là tỷ lệ KẾ HOẠCH (AOP), không phải thực tế.</t>
        </is>
      </c>
      <c r="E38" s="8" t="inlineStr">
        <is>
          <t>(Giữ nguyên)</t>
        </is>
      </c>
      <c r="F38" s="8" t="inlineStr">
        <is>
          <t>(Giữ nguyên)</t>
        </is>
      </c>
      <c r="G38" s="8" t="inlineStr">
        <is>
          <t>(Giữ nguyên)</t>
        </is>
      </c>
      <c r="H38" s="8" t="inlineStr"/>
    </row>
    <row r="39">
      <c r="A39" s="7" t="inlineStr">
        <is>
          <t>% Lợi nhuận (AOP)</t>
        </is>
      </c>
      <c r="B39" s="8" t="inlineStr">
        <is>
          <t>Tỷ lệ % lợi nhuận theo KẾ HOẠCH (AOP) cấp toàn tập đoàn. Lấy tỷ lệ % lợi nhuận trong bản kế hoạch AOP của tập đoàn theo kỳ; là giá trị TRUNG BÌNH các dòng kế hoạch. Nếu kỳ đó không có kế hoạch → để trống.</t>
        </is>
      </c>
      <c r="C39" s="8" t="inlineStr">
        <is>
          <t>—</t>
        </is>
      </c>
      <c r="D39" s="8" t="inlineStr">
        <is>
          <t>Là tỷ lệ KẾ HOẠCH (AOP), không phải thực tế.</t>
        </is>
      </c>
      <c r="E39" s="8" t="inlineStr">
        <is>
          <t>Tỷ lệ % lợi nhuận theo KẾ HOẠCH (AOP) cấp toàn tập đoàn. Lấy tỷ lệ % lợi nhuận trong bản kế hoạch AOP của tập đoàn theo kỳ; là giá trị TRUNG BÌNH các dòng kế hoạch của kỳ. Nếu kỳ đó không có kế hoạch → để trống.</t>
        </is>
      </c>
      <c r="F39" s="8" t="inlineStr">
        <is>
          <t>—</t>
        </is>
      </c>
      <c r="G39" s="8" t="inlineStr">
        <is>
          <t>Là tỷ lệ KẾ HOẠCH (AOP), không phải thực tế. Mẫu số % lợi nhuận do AOP định nghĩa sẵn (lấy nguyên tỷ lệ kế hoạch, báo cáo không tự tính lại). Cùng chỉ tiêu với '% Lợi nhuận AOP/(AOP)' ở các bảng khác (chỉ khác nhãn).</t>
        </is>
      </c>
      <c r="H39" s="8" t="inlineStr"/>
    </row>
    <row r="40">
      <c r="A40" s="7" t="inlineStr">
        <is>
          <t>LN Giao (AOP)</t>
        </is>
      </c>
      <c r="B40" s="8" t="inlineStr">
        <is>
          <t>Lợi nhuận GIAO theo kế hoạch (AOP) cho toàn tập đoàn trong kỳ. = Tổng số lợi nhuận giao trong bản kế hoạch AOP của tập đoàn (cộng các dòng kế hoạch của kỳ). Nếu kỳ đó không có kế hoạch → để trống.</t>
        </is>
      </c>
      <c r="C40" s="8" t="inlineStr">
        <is>
          <t>—</t>
        </is>
      </c>
      <c r="D40" s="8" t="inlineStr">
        <is>
          <t>Là số KẾ HOẠCH (AOP), không phải thực tế. Dùng làm chuẩn để so với lợi nhuận thực tế.</t>
        </is>
      </c>
      <c r="E40" s="8" t="inlineStr">
        <is>
          <t>Lợi nhuận GIAO theo kế hoạch (AOP) cho toàn tập đoàn trong kỳ. = Tổng số lợi nhuận giao trong bản kế hoạch AOP của tập đoàn (cộng các dòng kế hoạch của kỳ, đã gộp ở cấp tập đoàn theo kỳ nên không cộng trùng từ các dòng chuỗi×kênh). Nếu kỳ đó không có kế hoạch → để trống.</t>
        </is>
      </c>
      <c r="F40" s="8" t="inlineStr">
        <is>
          <t>—</t>
        </is>
      </c>
      <c r="G40" s="8" t="inlineStr">
        <is>
          <t>Là số KẾ HOẠCH (AOP), không phải thực tế; dùng làm chuẩn so với lợi nhuận thực tế. Cùng chỉ tiêu với 'Lợi nhuận giao' bảng Chuỗi/Kênh (chỉ khác nhãn). Tổng ở cấp tập đoàn lấy theo kỳ (không cộng trùng so với tổng theo chuỗi/kênh).</t>
        </is>
      </c>
      <c r="H40" s="8" t="inlineStr"/>
    </row>
    <row r="41">
      <c r="A41" s="7" t="inlineStr">
        <is>
          <t>CP CKKM (AOP)</t>
        </is>
      </c>
      <c r="B41" s="8" t="inlineStr">
        <is>
          <t>Chi phí chiết khấu khuyến mại (CKKM) theo KẾ HOẠCH (AOP) cho toàn tập đoàn trong kỳ. = Tổng số tiền CKKM kế hoạch trong bản kế hoạch AOP của tập đoàn (cộng các dòng kế hoạch của kỳ). Nếu kỳ đó không có kế hoạch → để trống.</t>
        </is>
      </c>
      <c r="C41" s="8" t="inlineStr">
        <is>
          <t>—</t>
        </is>
      </c>
      <c r="D41" s="8" t="inlineStr">
        <is>
          <t>CKKM = chi phí chiết khấu/khuyến mãi thương mại. Là số KẾ HOẠCH (AOP), không phải thực tế.</t>
        </is>
      </c>
      <c r="E41" s="8" t="inlineStr">
        <is>
          <t>(Giữ nguyên)</t>
        </is>
      </c>
      <c r="F41" s="8" t="inlineStr">
        <is>
          <t>(Giữ nguyên)</t>
        </is>
      </c>
      <c r="G41" s="8" t="inlineStr">
        <is>
          <t>(Giữ nguyên)</t>
        </is>
      </c>
      <c r="H41" s="8" t="inlineStr"/>
    </row>
    <row r="42">
      <c r="A42" s="7" t="inlineStr">
        <is>
          <t>Doanh số (AOP)</t>
        </is>
      </c>
      <c r="B42" s="8" t="inlineStr">
        <is>
          <t>Doanh số KẾ HOẠCH (AOP) cho toàn tập đoàn trong kỳ. = Tổng số doanh số kế hoạch trong bản kế hoạch AOP của tập đoàn (cộng các dòng kế hoạch của kỳ). Nếu kỳ đó không có kế hoạch → để trống.</t>
        </is>
      </c>
      <c r="C42" s="8" t="inlineStr">
        <is>
          <t>—</t>
        </is>
      </c>
      <c r="D42" s="8" t="inlineStr">
        <is>
          <t>Là số KẾ HOẠCH (AOP), không phải thực tế.</t>
        </is>
      </c>
      <c r="E42" s="8" t="inlineStr">
        <is>
          <t>Doanh số KẾ HOẠCH (AOP) cho toàn tập đoàn trong kỳ — là KẾ HOẠCH CẢ THÁNG. = Tổng số doanh số kế hoạch trong bản kế hoạch AOP của tập đoàn (cộng các dòng kế hoạch của kỳ). Nếu kỳ đó không có kế hoạch → để trống.</t>
        </is>
      </c>
      <c r="F42" s="8" t="inlineStr">
        <is>
          <t>—</t>
        </is>
      </c>
      <c r="G42" s="8" t="inlineStr">
        <is>
          <t>Là số KẾ HOẠCH (AOP), không phải thực tế; cơ sở do bản kế hoạch AOP quy định (lấy nguyên). Cùng chỉ tiêu với 'Doanh số AOP' bảng Chuỗi/Kênh (chỉ khác nhãn). Khi so với Doanh số thực tế: AOP = cả tháng, thực tế = lũy kế đến ngày được chọn.</t>
        </is>
      </c>
      <c r="H42" s="8" t="inlineStr"/>
    </row>
    <row r="43">
      <c r="A43" s="7" t="inlineStr">
        <is>
          <t>TlX_TD</t>
        </is>
      </c>
      <c r="B43" s="8" t="inlineStr">
        <is>
          <t>Tỷ lệ Xanh/Đỏ toàn tập đoàn, hiển thị dạng 'số Xanh / số Đỏ' (ví dụ 60/40). Số Xanh = phần trăm doanh số nhóm Xanh của tập đoàn (Doanh số Xanh ÷ (Doanh số Xanh + Doanh số Đỏ) × 100), làm tròn về số nguyên; số Đỏ = 100 − số Xanh. Tính trên doanh số nhóm Xanh (nhóm ưu tiên) và nhóm Đỏ toàn tập đoàn, lũy kế trong tháng đến ngày được chọn.</t>
        </is>
      </c>
      <c r="C43" s="8" t="inlineStr">
        <is>
          <t>Chỉ tính trên sản phẩm có phân loại Xanh/Đỏ (mỗi sản phẩm luôn thuộc đúng 1 trong 2 nhóm).</t>
        </is>
      </c>
      <c r="D43" s="8" t="inlineStr">
        <is>
          <t>Tương ứng chỉ tiêu 'Tỷ lệ Xanh/Đỏ' (mã chỉ tiêu 24) của bảng tổng hợp P&amp;L tập đoàn. Hiển thị là cặp tỷ trọng % cộng lại = 100.</t>
        </is>
      </c>
      <c r="E43" s="8" t="inlineStr">
        <is>
          <t>Tỷ lệ Xanh/Đỏ toàn tập đoàn, hiển thị dạng 'số Xanh / số Đỏ'. Số Xanh = Doanh số Xanh ÷ (Doanh số Xanh + Doanh số Đỏ) × 100, làm tròn về số nguyên; số Đỏ = 100 − số Xanh. Tính trên doanh số nhóm Xanh (ưu tiên) và nhóm Đỏ toàn tập đoàn, mỗi vế lũy kế trong tháng đến ngày được chọn. Mẫu số = 0 → để trống.</t>
        </is>
      </c>
      <c r="F43" s="8" t="inlineStr">
        <is>
          <t>Chỉ tính trên sản phẩm có phân loại Xanh/Đỏ (mỗi sản phẩm luôn thuộc đúng 1 trong 2 nhóm).</t>
        </is>
      </c>
      <c r="G43" s="8" t="inlineStr">
        <is>
          <t>TlX_TD = Tỷ lệ Xanh/Đỏ cấp tập đoàn; cùng chỉ tiêu với 'TlXD' (Chuỗi/Kênh) và 'TlX' (Ngành) — viết tắt khác, cùng nghĩa. Tương ứng chỉ tiêu 'Tỷ lệ Xanh/Đỏ' trong bảng tổng hợp P&amp;L tập đoàn. Cặp % cộng lại = 100.</t>
        </is>
      </c>
      <c r="H43" s="8" t="inlineStr"/>
    </row>
    <row r="44">
      <c r="A44" s="7" t="inlineStr">
        <is>
          <t>Tỷ trọng SP mới</t>
        </is>
      </c>
      <c r="B44"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44" s="8" t="inlineStr">
        <is>
          <t>Cùng phạm vi với Doanh thu thực tế của tập đoàn.</t>
        </is>
      </c>
      <c r="D44" s="8" t="inlineStr"/>
      <c r="E44" s="8">
        <f> Doanh thu thực tế (THUẦN) của các SẢN PHẨM MỚI ÷ Doanh thu thực tế (thuần) của toàn bộ tập đoàn, ra %, cùng kỳ LŨY KẾ trong tháng đến ngày được chọn. 'Sản phẩm mới' = sản phẩm có phân loại 'Quy hoạch SP' = 'SP mới' (gắn theo sản phẩm trên dòng hóa đơn). Mẫu số = 0 → để trống.</f>
        <v/>
      </c>
      <c r="F44" s="8" t="inlineStr">
        <is>
          <t>Cùng phạm vi với Doanh thu thực tế của tập đoàn.</t>
        </is>
      </c>
      <c r="G44" s="8" t="inlineStr">
        <is>
          <t>Tử và mẫu dùng DOANH THU THUẦN (không +VAT), dù cột số chính của bảng tên 'Doanh số thực tế' — KGR nên xác nhận thống nhất tên gọi. Cùng kỳ lũy kế đến ngày được chọn.</t>
        </is>
      </c>
      <c r="H44" s="8" t="inlineStr"/>
    </row>
    <row r="45">
      <c r="A45" s="7" t="inlineStr">
        <is>
          <t>Doanh số thực tế</t>
        </is>
      </c>
      <c r="B45" s="8" t="inlineStr">
        <is>
          <t>Doanh số bán hàng THỰC TẾ của toàn tập đoàn, lũy kế trong tháng đến ngày được chọn. Lấy giá trị thực tế của chỉ tiêu 'Doanh số' (chỉ tiêu số 1 trong bảng P&amp;L tập đoàn) đã cộng dồn đến ngày được chọn. Đổi ngày được chọn → đổi số lũy kế.</t>
        </is>
      </c>
      <c r="C45" s="8" t="inlineStr">
        <is>
          <t>Chỉ 2 pháp nhân 'CTCP LD Kangaroo Quốc tế' (VU1) và 'Chi nhánh HCM'; chỉ giao dịch đã hạch toán; loại hàng thanh lý (HTL); loại khách hàng được đánh dấu ký gửi; loại kênh nội bộ.</t>
        </is>
      </c>
      <c r="D45" s="8" t="inlineStr">
        <is>
          <t>Lũy kế trong THÁNG (reset đầu mỗi tháng) đến ngày được chọn.</t>
        </is>
      </c>
      <c r="E45" s="8" t="inlineStr">
        <is>
          <t>Doanh số bán hàng THỰC TẾ của toàn tập đoàn, lũy kế trong tháng đến ngày được chọn. Lấy giá trị thực tế của chỉ tiêu 'Doanh số' trong bảng P&amp;L tập đoàn (chỉ tiêu doanh số đầu chuỗi P&amp;L), đã cộng dồn đến ngày được chọn. Đổi ngày được chọn → đổi số lũy kế.</t>
        </is>
      </c>
      <c r="F45" s="8" t="inlineStr">
        <is>
          <t>Chỉ 2 pháp nhân 'CTCP LD Kangaroo Quốc tế' (VU1) và 'Chi nhánh HCM'; chỉ giao dịch đã hạch toán; loại hàng thanh lý (HTL); loại khách hàng được đánh dấu ký gửi; loại kênh nội bộ.</t>
        </is>
      </c>
      <c r="G45" s="8" t="inlineStr">
        <is>
          <t>Lũy kế trong THÁNG (reset đầu mỗi tháng) đến ngày được chọn. VU1 = pháp nhân 'CTCP LD Kangaroo Quốc tế'; HTL = Hàng thanh lý. CẢNH BÁO LIÊN BẢNG: ở Tập đoàn (và Ngành), Doanh số thực tế lấy từ chỉ tiêu Doanh số trong bảng P&amp;L (tổng hợp cấp P&amp;L), KHÁC cách tính theo từng dòng hóa đơn ở bảng Chuỗi/Kênh — có thể chênh số.</t>
        </is>
      </c>
      <c r="H45" s="8" t="inlineStr"/>
    </row>
    <row r="46">
      <c r="A46" s="7" t="inlineStr">
        <is>
          <t>CP CKKM Thực tế</t>
        </is>
      </c>
      <c r="B46" s="8" t="inlineStr">
        <is>
          <t>Chi phí chiết khấu khuyến mại (CKKM) THỰC TẾ của toàn tập đoàn, lũy kế trong tháng đến ngày được chọn. Lấy giá trị thực tế của chỉ tiêu 'CP chiết khấu khuyến mại' (chỉ tiêu số 5 trong bảng P&amp;L tập đoàn) đã cộng dồn đến ngày được chọn.</t>
        </is>
      </c>
      <c r="C46" s="8" t="inlineStr">
        <is>
          <t>Cùng phạm vi với Doanh số thực tế của tập đoàn.</t>
        </is>
      </c>
      <c r="D46" s="8" t="inlineStr">
        <is>
          <t>CKKM = chi phí chiết khấu/khuyến mãi thương mại. Đây là CKKM thực tế (đối chiếu 'CP CKKM (AOP)' là kế hoạch).</t>
        </is>
      </c>
      <c r="E46" s="8" t="inlineStr">
        <is>
          <t>Chi phí chiết khấu khuyến mại (CKKM) THỰC TẾ của toàn tập đoàn, lũy kế trong tháng đến ngày được chọn. Lấy giá trị thực tế của chỉ tiêu 'CP chiết khấu khuyến mại' trong bảng P&amp;L tập đoàn, đã cộng dồn đến ngày được chọn.</t>
        </is>
      </c>
      <c r="F46" s="8" t="inlineStr">
        <is>
          <t>Cùng phạm vi với Doanh số thực tế của tập đoàn.</t>
        </is>
      </c>
      <c r="G46" s="8" t="inlineStr">
        <is>
          <t>CKKM = chi phí chiết khấu/khuyến mãi thương mại; đây là CKKM thực tế (đối chiếu 'CP CKKM (AOP)' là kế hoạch). Cùng chỉ tiêu với 'CP CKKM (thực tế)' bảng Chuỗi/Kênh (chỉ khác nhãn), nhưng cấp Tập đoàn lấy từ chỉ tiêu CKKM trong bảng P&amp;L, KHÁC cách khớp theo dòng hóa đơn ở bảng Chuỗi/Kênh.</t>
        </is>
      </c>
      <c r="H46" s="8" t="inlineStr"/>
    </row>
    <row r="47">
      <c r="A47" s="7" t="inlineStr">
        <is>
          <t>LN sau thuế</t>
        </is>
      </c>
      <c r="B47" s="8" t="inlineStr">
        <is>
          <t>Lợi nhuận sau thuế THỰC TẾ của toàn tập đoàn, lũy kế trong tháng đến ngày được chọn. Lấy giá trị thực tế của chỉ tiêu 'Lợi nhuận sau thuế' (chỉ tiêu số 23 trong bảng P&amp;L tập đoàn) đã cộng dồn đến ngày được chọn. (Theo quy ước bảng P&amp;L: nếu lợi nhuận trước thuế &gt; 0 thì giữ lại 80%, ngược lại giữ nguyên — 80% là quy ước cố định của báo cáo, không phải thuế suất thực.)</t>
        </is>
      </c>
      <c r="C47" s="8" t="inlineStr">
        <is>
          <t>—</t>
        </is>
      </c>
      <c r="D47" s="8" t="inlineStr">
        <is>
          <t>Là chỉ tiêu phái sinh đứng cuối chuỗi P&amp;L của tập đoàn; tổng hợp cấp tập đoàn, không khớp lại theo từng dòng hóa đơn.</t>
        </is>
      </c>
      <c r="E47" s="8" t="inlineStr">
        <is>
          <t>Lợi nhuận sau thuế THỰC TẾ của toàn tập đoàn, lũy kế trong tháng đến ngày được chọn. Lấy giá trị thực tế của chỉ tiêu 'Lợi nhuận sau thuế' (chỉ tiêu cuối chuỗi P&amp;L tập đoàn), đã cộng dồn đến ngày được chọn. Quy ước: nếu Lợi nhuận TRƯỚC thuế &gt; 0 thì giữ lại 80% (× 0,8); ngược lại giữ nguyên.</t>
        </is>
      </c>
      <c r="F47" s="8" t="inlineStr">
        <is>
          <t>Cùng phạm vi với Doanh số thực tế của tập đoàn (2 pháp nhân VU1 + Chi nhánh HCM; đã hạch toán; loại HTL/khách ký gửi/kênh nội bộ) ở phần gốc P&amp;L.</t>
        </is>
      </c>
      <c r="G47" s="8" t="inlineStr">
        <is>
          <t>CẢNH BÁO MẠNH: '80%' là QUY ƯỚC CỐ ĐỊNH của báo cáo, KHÔNG phải thuế suất TNDN thực (dù nhãn 'sau thuế' dễ gây hiểu nhầm). LN sau thuế là chỉ tiêu phái sinh cuối chuỗi P&amp;L tập đoàn; tổng hợp cấp tập đoàn, không khớp lại theo từng dòng hóa đơn. VU1 = pháp nhân 'CTCP LD Kangaroo Quốc tế'.</t>
        </is>
      </c>
      <c r="H47" s="8" t="inlineStr"/>
    </row>
    <row r="48">
      <c r="A48" s="7" t="inlineStr">
        <is>
          <t>DS còn phải thực hiện</t>
        </is>
      </c>
      <c r="B48" s="8">
        <f> Doanh số (AOP) (kế hoạch tập đoàn) − Doanh số thực tế của tập đoàn, cùng lũy kế đến ngày được chọn. Cho biết phần doanh số còn phải thực hiện để đạt kế hoạch: số dương = chưa đạt, số âm = đã vượt.</f>
        <v/>
      </c>
      <c r="C48" s="8" t="inlineStr">
        <is>
          <t>—</t>
        </is>
      </c>
      <c r="D48" s="8" t="inlineStr">
        <is>
          <t>Hiệu của 'Doanh số (AOP)' và 'Doanh số thực tế'.</t>
        </is>
      </c>
      <c r="E48" s="8">
        <f> Doanh số (AOP) (kế hoạch CẢ THÁNG tập đoàn) − Doanh số thực tế của tập đoàn (LŨY KẾ đến ngày được chọn). Số dương = chưa đạt, số âm = đã vượt.</f>
        <v/>
      </c>
      <c r="F48" s="8" t="inlineStr">
        <is>
          <t>—</t>
        </is>
      </c>
      <c r="G48" s="8" t="inlineStr">
        <is>
          <t>Hiệu của 'Doanh số (AOP)' và 'Doanh số thực tế', cùng cơ sở. Cùng nghĩa với cột 'Doanh số AOP − thực tế (còn phải thực hiện)' bảng Chuỗi/Kênh (chỉ khác nhãn). Quy ước dấu: dương = còn thiếu so với kế hoạch.</t>
        </is>
      </c>
      <c r="H48" s="8" t="inlineStr"/>
    </row>
    <row r="49">
      <c r="A49" s="7" t="inlineStr">
        <is>
          <t>LN còn phải thực hiện</t>
        </is>
      </c>
      <c r="B49" s="8">
        <f> LN Giao (AOP) (lợi nhuận giao kế hoạch tập đoàn) − LN sau thuế thực tế của tập đoàn, cùng lũy kế đến ngày được chọn. Cho biết phần lợi nhuận còn phải thực hiện để đạt kế hoạch: số dương = chưa đạt, số âm = đã vượt.</f>
        <v/>
      </c>
      <c r="C49" s="8" t="inlineStr">
        <is>
          <t>—</t>
        </is>
      </c>
      <c r="D49" s="8" t="inlineStr">
        <is>
          <t>Hiệu của 'LN Giao (AOP)' (kế hoạch) và 'LN sau thuế' (thực tế).</t>
        </is>
      </c>
      <c r="E49" s="8">
        <f> LN Giao (AOP) (lợi nhuận giao kế hoạch tập đoàn) − LN sau thuế THỰC TẾ của tập đoàn, cùng lũy kế đến ngày được chọn. Số dương = chưa đạt, số âm = đã vượt.</f>
        <v/>
      </c>
      <c r="F49" s="8" t="inlineStr">
        <is>
          <t>—</t>
        </is>
      </c>
      <c r="G49" s="8" t="inlineStr">
        <is>
          <t>Hiệu của 'LN Giao (AOP)' (kế hoạch) và 'LN sau thuế' (thực tế). LƯU Ý LIÊN BẢNG: vế thực tế ở Tập đoàn dùng LN SAU THUẾ — KHÁC bảng Chuỗi/Kênh (dùng LN gộp KD) và bảng Ngành (dùng Lợi nhuận gộp). Cùng nghĩa cột với 'Lợi nhuận AOP − thực tế (còn phải thực hiện)' nhưng mốc thực tế khác.</t>
        </is>
      </c>
      <c r="H49" s="8" t="inlineStr"/>
    </row>
    <row r="50">
      <c r="A50" s="7" t="inlineStr">
        <is>
          <t>CKKM còn được sử dụng</t>
        </is>
      </c>
      <c r="B50" s="8">
        <f> CP CKKM (AOP) (ngân sách khuyến mại kế hoạch tập đoàn) − CP CKKM Thực tế của tập đoàn, cùng lũy kế đến ngày được chọn. Cho biết phần ngân sách khuyến mại còn được sử dụng: số dương = còn dư, số âm = đã chi vượt.</f>
        <v/>
      </c>
      <c r="C50" s="8" t="inlineStr">
        <is>
          <t>—</t>
        </is>
      </c>
      <c r="D50" s="8" t="inlineStr">
        <is>
          <t>Hiệu của 'CP CKKM (AOP)' (kế hoạch) và 'CP CKKM Thực tế'.</t>
        </is>
      </c>
      <c r="E50" s="8">
        <f> CP CKKM (AOP) (ngân sách khuyến mại kế hoạch tập đoàn) − CP CKKM Thực tế của tập đoàn, cùng lũy kế đến ngày được chọn. Số dương = còn dư ngân sách, số âm = đã chi vượt.</f>
        <v/>
      </c>
      <c r="F50" s="8" t="inlineStr">
        <is>
          <t>—</t>
        </is>
      </c>
      <c r="G50" s="8" t="inlineStr">
        <is>
          <t>Hiệu của 'CP CKKM (AOP)' (kế hoạch) và 'CP CKKM Thực tế'. Cùng nghĩa với cột 'CKKM AOP − thực tế (còn được sử dụng)' bảng Chuỗi/Kênh (chỉ khác nhãn).</t>
        </is>
      </c>
      <c r="H50" s="8" t="inlineStr"/>
    </row>
    <row r="51">
      <c r="A51" s="5" t="inlineStr">
        <is>
          <t>DAILY_NGÀNH_HÀNG (theo Ngành)</t>
        </is>
      </c>
    </row>
    <row r="52" ht="28" customHeight="1">
      <c r="A52" s="6" t="inlineStr">
        <is>
          <t>Cột / Chỉ tiêu</t>
        </is>
      </c>
      <c r="B52" s="6" t="inlineStr">
        <is>
          <t>Cách tính (logic nghiệp vụ)</t>
        </is>
      </c>
      <c r="C52" s="6" t="inlineStr">
        <is>
          <t>Loại trừ / Bộ lọc</t>
        </is>
      </c>
      <c r="D52" s="6" t="inlineStr">
        <is>
          <t>Ghi chú</t>
        </is>
      </c>
      <c r="E52" s="6" t="inlineStr">
        <is>
          <t>Cách tính (QA)</t>
        </is>
      </c>
      <c r="F52" s="6" t="inlineStr">
        <is>
          <t>Loại trừ-Bộ lọc (QA)</t>
        </is>
      </c>
      <c r="G52" s="6" t="inlineStr">
        <is>
          <t>Ghi chú (QA)</t>
        </is>
      </c>
      <c r="H52" s="6" t="inlineStr">
        <is>
          <t>KGR xác nhận</t>
        </is>
      </c>
    </row>
    <row r="53">
      <c r="A53" s="7" t="inlineStr">
        <is>
          <t>Tên Ngành</t>
        </is>
      </c>
      <c r="B53" s="8" t="inlineStr">
        <is>
          <t>Nhãn phân nhóm: tên ngành hàng của dòng. Ngành xác định theo phân loại ngành (CLASS) ghi trên dòng giao dịch: 1 = Water care, 2 = Home care, 3 = Cold &amp; Hygen care, 4 = Sanitary care, còn lại = 'Khac' (Khác). Mỗi dòng của bảng là một ngành.</t>
        </is>
      </c>
      <c r="C53" s="8" t="inlineStr">
        <is>
          <t>—</t>
        </is>
      </c>
      <c r="D53" s="8" t="inlineStr">
        <is>
          <t>Cột chiều (dimension), không phải số liệu. Ngành xác định tại thời điểm phát sinh giao dịch (capture-basis).</t>
        </is>
      </c>
      <c r="E53" s="8" t="inlineStr">
        <is>
          <t>Nhãn phân nhóm: tên ngành hàng của dòng. Ngành xác định theo phân loại ngành (CLASS) ghi trên dòng giao dịch: 1 = Water care, 2 = Home care, 3 = Cold &amp; Hygiene care, 4 = Sanitary care, còn lại = 'Khác'. Mỗi dòng của bảng là một ngành.</t>
        </is>
      </c>
      <c r="F53" s="8" t="inlineStr">
        <is>
          <t>—</t>
        </is>
      </c>
      <c r="G53" s="8" t="inlineStr">
        <is>
          <t>Cột chiều (dimension), không phải số liệu. Ngành được xác định TẠI THỜI ĐIỂM phát sinh giao dịch (capture-basis), không reclassify hồi tố. Lưu ý: nhãn trên báo cáo live ghi '3 = Cold &amp; Hygen care' và nhóm 'Khac' (thiếu dấu) — chính tả gốc của workbook; tên chuẩn là 'Hygiene' và 'Khác'.</t>
        </is>
      </c>
      <c r="H53" s="8" t="inlineStr"/>
    </row>
    <row r="54">
      <c r="A54" s="7" t="inlineStr">
        <is>
          <t>% CKKM (AOP)</t>
        </is>
      </c>
      <c r="B54" s="8" t="inlineStr">
        <is>
          <t>Tỷ lệ % chi phí chiết khấu khuyến mại theo KẾ HOẠCH (AOP) cho riêng ngành của dòng. Lấy tỷ lệ % CKKM trong bản kế hoạch AOP của ngành theo kỳ; là giá trị TRUNG BÌNH các dòng kế hoạch của ngành. Nếu kỳ đó không có kế hoạch → để trống.</t>
        </is>
      </c>
      <c r="C54" s="8" t="inlineStr">
        <is>
          <t>Lọc theo ngành của dòng.</t>
        </is>
      </c>
      <c r="D54" s="8" t="inlineStr">
        <is>
          <t>Là tỷ lệ KẾ HOẠCH (AOP), không phải thực tế.</t>
        </is>
      </c>
      <c r="E54" s="8" t="inlineStr">
        <is>
          <t>(Giữ nguyên)</t>
        </is>
      </c>
      <c r="F54" s="8" t="inlineStr">
        <is>
          <t>(Giữ nguyên)</t>
        </is>
      </c>
      <c r="G54" s="8" t="inlineStr">
        <is>
          <t>(Giữ nguyên)</t>
        </is>
      </c>
      <c r="H54" s="8" t="inlineStr"/>
    </row>
    <row r="55">
      <c r="A55" s="7" t="inlineStr">
        <is>
          <t>% Lợi nhuận (AOP)</t>
        </is>
      </c>
      <c r="B55" s="8" t="inlineStr">
        <is>
          <t>Tỷ lệ % lợi nhuận theo KẾ HOẠCH (AOP) cho riêng ngành của dòng. Lấy tỷ lệ % lợi nhuận trong bản kế hoạch AOP của ngành theo kỳ; là giá trị TRUNG BÌNH các dòng kế hoạch của ngành. Nếu kỳ đó không có kế hoạch → để trống.</t>
        </is>
      </c>
      <c r="C55" s="8" t="inlineStr">
        <is>
          <t>Lọc theo ngành của dòng.</t>
        </is>
      </c>
      <c r="D55" s="8" t="inlineStr">
        <is>
          <t>Là tỷ lệ KẾ HOẠCH (AOP), không phải thực tế.</t>
        </is>
      </c>
      <c r="E55" s="8" t="inlineStr">
        <is>
          <t>Tỷ lệ % lợi nhuận theo KẾ HOẠCH (AOP) cho riêng ngành của dòng. Lấy tỷ lệ % lợi nhuận trong bản kế hoạch AOP của ngành theo kỳ; là giá trị TRUNG BÌNH các dòng kế hoạch của ngành. Nếu kỳ đó không có kế hoạch → để trống.</t>
        </is>
      </c>
      <c r="F55" s="8" t="inlineStr">
        <is>
          <t>Lọc theo ngành của dòng.</t>
        </is>
      </c>
      <c r="G55" s="8" t="inlineStr">
        <is>
          <t>Là tỷ lệ KẾ HOẠCH (AOP), không phải thực tế. Mẫu số % lợi nhuận do AOP định nghĩa sẵn (lấy nguyên tỷ lệ kế hoạch). Cùng chỉ tiêu với '% Lợi nhuận AOP/(AOP)' ở các bảng khác (chỉ khác nhãn).</t>
        </is>
      </c>
      <c r="H55" s="8" t="inlineStr"/>
    </row>
    <row r="56">
      <c r="A56" s="7" t="inlineStr">
        <is>
          <t>LN Giao (AOP)</t>
        </is>
      </c>
      <c r="B56" s="8" t="inlineStr">
        <is>
          <t>Lợi nhuận GIAO theo kế hoạch (AOP) cho riêng ngành của dòng trong kỳ. = Tổng số lợi nhuận giao trong bản kế hoạch AOP của ngành; chỉ hiển thị tại dòng chỉ tiêu tương ứng. Nếu kỳ đó không có kế hoạch → để trống.</t>
        </is>
      </c>
      <c r="C56" s="8" t="inlineStr">
        <is>
          <t>Lọc theo ngành của dòng.</t>
        </is>
      </c>
      <c r="D56" s="8" t="inlineStr">
        <is>
          <t>Là số KẾ HOẠCH (AOP), không phải thực tế.</t>
        </is>
      </c>
      <c r="E56" s="8" t="inlineStr">
        <is>
          <t>Lợi nhuận GIAO theo kế hoạch (AOP) cho riêng ngành của dòng trong kỳ. = Tổng số lợi nhuận giao trong bản kế hoạch AOP của ngành. Nếu kỳ đó không có kế hoạch → để trống.</t>
        </is>
      </c>
      <c r="F56" s="8" t="inlineStr">
        <is>
          <t>Lọc theo ngành của dòng.</t>
        </is>
      </c>
      <c r="G56" s="8" t="inlineStr">
        <is>
          <t>Là số KẾ HOẠCH (AOP), không phải thực tế. Cùng chỉ tiêu với 'Lợi nhuận giao' bảng Chuỗi/Kênh (chỉ khác nhãn). Bảng gom theo ngành (mỗi dòng một ngành) nên giá trị hiển thị ngay tại dòng ngành tương ứng.</t>
        </is>
      </c>
      <c r="H56" s="8" t="inlineStr"/>
    </row>
    <row r="57">
      <c r="A57" s="7" t="inlineStr">
        <is>
          <t>CP CKKM (AOP)</t>
        </is>
      </c>
      <c r="B57" s="8" t="inlineStr">
        <is>
          <t>Chi phí chiết khấu khuyến mại (CKKM) theo KẾ HOẠCH (AOP) cho riêng ngành của dòng trong kỳ. = Tổng số tiền CKKM kế hoạch trong bản kế hoạch AOP của ngành. Nếu kỳ đó không có kế hoạch → để trống.</t>
        </is>
      </c>
      <c r="C57" s="8" t="inlineStr">
        <is>
          <t>Lọc theo ngành của dòng.</t>
        </is>
      </c>
      <c r="D57" s="8" t="inlineStr">
        <is>
          <t>CKKM = chi phí chiết khấu/khuyến mãi thương mại. Là số KẾ HOẠCH (AOP), không phải thực tế.</t>
        </is>
      </c>
      <c r="E57" s="8" t="inlineStr">
        <is>
          <t>(Giữ nguyên)</t>
        </is>
      </c>
      <c r="F57" s="8" t="inlineStr">
        <is>
          <t>(Giữ nguyên)</t>
        </is>
      </c>
      <c r="G57" s="8" t="inlineStr">
        <is>
          <t>(Giữ nguyên)</t>
        </is>
      </c>
      <c r="H57" s="8" t="inlineStr"/>
    </row>
    <row r="58">
      <c r="A58" s="7" t="inlineStr">
        <is>
          <t>Doanh số (AOP)</t>
        </is>
      </c>
      <c r="B58" s="8" t="inlineStr">
        <is>
          <t>Doanh số KẾ HOẠCH (AOP) cho riêng ngành của dòng trong kỳ. = Tổng số doanh số kế hoạch trong bản kế hoạch AOP của ngành. Nếu kỳ đó không có kế hoạch → để trống.</t>
        </is>
      </c>
      <c r="C58" s="8" t="inlineStr">
        <is>
          <t>Lọc theo ngành của dòng.</t>
        </is>
      </c>
      <c r="D58" s="8" t="inlineStr">
        <is>
          <t>Là số KẾ HOẠCH (AOP), không phải thực tế.</t>
        </is>
      </c>
      <c r="E58" s="8" t="inlineStr">
        <is>
          <t>Doanh số KẾ HOẠCH (AOP) cho riêng ngành của dòng trong kỳ — là KẾ HOẠCH CẢ THÁNG. = Tổng số doanh số kế hoạch trong bản kế hoạch AOP của ngành. Nếu kỳ đó không có kế hoạch → để trống.</t>
        </is>
      </c>
      <c r="F58" s="8" t="inlineStr">
        <is>
          <t>Lọc theo ngành của dòng.</t>
        </is>
      </c>
      <c r="G58" s="8" t="inlineStr">
        <is>
          <t>Là số KẾ HOẠCH (AOP), không phải thực tế; cơ sở do bản kế hoạch AOP quy định (lấy nguyên). Cùng chỉ tiêu với 'Doanh số AOP' bảng Chuỗi/Kênh (chỉ khác nhãn). Khi so với Doanh số thực tế: AOP = cả tháng, thực tế = lũy kế đến ngày được chọn.</t>
        </is>
      </c>
      <c r="H58" s="8" t="inlineStr"/>
    </row>
    <row r="59">
      <c r="A59" s="7" t="inlineStr">
        <is>
          <t>TlX</t>
        </is>
      </c>
      <c r="B59" s="8" t="inlineStr">
        <is>
          <t>Tỷ lệ Xanh/Đỏ của ngành, hiển thị dạng 'số Xanh / số Đỏ' (ví dụ 60/40). Số Xanh = phần trăm doanh số nhóm Xanh của ngành (Doanh số Xanh ÷ (Doanh số Xanh + Doanh số Đỏ) × 100), làm tròn về số nguyên; số Đỏ = 100 − số Xanh. Doanh số Xanh và Doanh số Đỏ là tổng doanh số nhóm Xanh (ưu tiên) và nhóm Đỏ trong ngành, lũy kế trong tháng đến ngày được chọn.</t>
        </is>
      </c>
      <c r="C59" s="8" t="inlineStr">
        <is>
          <t>Chỉ tính trên sản phẩm có phân loại Xanh/Đỏ, trong ngành.</t>
        </is>
      </c>
      <c r="D59" s="8" t="inlineStr">
        <is>
          <t>Hiển thị là cặp tỷ trọng % cộng lại = 100.</t>
        </is>
      </c>
      <c r="E59" s="8" t="inlineStr">
        <is>
          <t>Tỷ lệ Xanh/Đỏ của ngành, hiển thị dạng 'số Xanh / số Đỏ'. Số Xanh = Doanh số Xanh ÷ (Doanh số Xanh + Doanh số Đỏ) × 100, làm tròn về số nguyên; số Đỏ = 100 − số Xanh. Doanh số Xanh/Đỏ là tổng doanh số nhóm Xanh (ưu tiên) và nhóm Đỏ trong ngành, mỗi vế lũy kế trong tháng đến ngày được chọn. Mẫu số = 0 → để trống.</t>
        </is>
      </c>
      <c r="F59" s="8" t="inlineStr">
        <is>
          <t>Chỉ tính trên sản phẩm có phân loại Xanh/Đỏ, trong ngành của dòng; áp cùng phạm vi chung của báo cáo (2 pháp nhân VU1 + Chi nhánh HCM; đã hạch toán; loại HTL/khách ký gửi/kênh nội bộ).</t>
        </is>
      </c>
      <c r="G59" s="8" t="inlineStr">
        <is>
          <t>TlX = Tỷ lệ Xanh/Đỏ; cùng chỉ tiêu với 'TlXD' (Chuỗi/Kênh) và 'TlX_TD' (Tập đoàn) — viết tắt khác, cùng nghĩa. Cặp % cộng lại = 100.</t>
        </is>
      </c>
      <c r="H59" s="8" t="inlineStr"/>
    </row>
    <row r="60">
      <c r="A60" s="7" t="inlineStr">
        <is>
          <t>Tỷ trọng SP mới</t>
        </is>
      </c>
      <c r="B60" s="8">
        <f> Doanh thu thực tế của các SẢN PHẨM MỚI ÷ Doanh thu thực tế (toàn bộ, cùng phạm vi), ra %. 'Sản phẩm mới' = sản phẩm có phân loại 'Quy hoạch SP' = 'SP mới' (gắn theo sản phẩm trên dòng hóa đơn); doanh thu SP mới = doanh thu thực tế của riêng các dòng có 'Quy hoạch SP' = 'SP mới'.</f>
        <v/>
      </c>
      <c r="C60" s="8" t="inlineStr">
        <is>
          <t>Lọc theo ngành của dòng; cùng phạm vi với Doanh thu của ngành.</t>
        </is>
      </c>
      <c r="D60" s="8" t="inlineStr"/>
      <c r="E60" s="8">
        <f> Doanh thu thực tế (THUẦN) của các SẢN PHẨM MỚI trong ngành ÷ Doanh thu thực tế (thuần) của toàn bộ ngành, ra %, cùng kỳ LŨY KẾ trong tháng đến ngày được chọn. 'Sản phẩm mới' = sản phẩm có phân loại 'Quy hoạch SP' = 'SP mới' (gắn theo sản phẩm trên dòng hóa đơn). Mẫu số = 0 → để trống.</f>
        <v/>
      </c>
      <c r="F60" s="8" t="inlineStr">
        <is>
          <t>Lọc theo ngành của dòng; cùng phạm vi với Doanh thu của ngành.</t>
        </is>
      </c>
      <c r="G60" s="8" t="inlineStr">
        <is>
          <t>Tử và mẫu dùng DOANH THU THUẦN (không +VAT), dù cột số chính của bảng tên 'Doanh số thực tế' — KGR nên xác nhận thống nhất tên gọi. Cùng kỳ lũy kế đến ngày được chọn.</t>
        </is>
      </c>
      <c r="H60" s="8" t="inlineStr"/>
    </row>
    <row r="61">
      <c r="A61" s="7" t="inlineStr">
        <is>
          <t>Doanh số thực tế</t>
        </is>
      </c>
      <c r="B61" s="8" t="inlineStr">
        <is>
          <t>Doanh số bán hàng THỰC TẾ của riêng ngành, lũy kế trong tháng đến ngày được chọn. Lấy giá trị thực tế của chỉ tiêu 'Doanh số' (chỉ tiêu số 1 trong bảng P&amp;L) cho ngành đó, đã cộng dồn đến ngày được chọn. Đổi ngày được chọn → đổi số lũy kế.</t>
        </is>
      </c>
      <c r="C61" s="8" t="inlineStr">
        <is>
          <t>Lọc theo ngành của dòng; và phạm vi chung: chỉ 2 pháp nhân 'CTCP LD Kangaroo Quốc tế' (VU1) và 'Chi nhánh HCM'; chỉ giao dịch đã hạch toán; loại hàng thanh lý (HTL); loại khách hàng được đánh dấu ký gửi; loại kênh nội bộ.</t>
        </is>
      </c>
      <c r="D61" s="8" t="inlineStr">
        <is>
          <t>Lũy kế trong THÁNG (reset đầu mỗi tháng) đến ngày được chọn.</t>
        </is>
      </c>
      <c r="E61" s="8" t="inlineStr">
        <is>
          <t>Doanh số bán hàng THỰC TẾ của riêng ngành, lũy kế trong tháng đến ngày được chọn. Lấy giá trị thực tế của chỉ tiêu 'Doanh số' trong bảng P&amp;L cho ngành đó, đã cộng dồn đến ngày được chọn. Đổi ngày được chọn → đổi số lũy kế.</t>
        </is>
      </c>
      <c r="F61" s="8" t="inlineStr">
        <is>
          <t>Lọc theo ngành của dòng; và phạm vi chung: chỉ 2 pháp nhân 'CTCP LD Kangaroo Quốc tế' (VU1) và 'Chi nhánh HCM'; chỉ giao dịch đã hạch toán; loại hàng thanh lý (HTL); loại khách hàng được đánh dấu ký gửi; loại kênh nội bộ.</t>
        </is>
      </c>
      <c r="G61" s="8" t="inlineStr">
        <is>
          <t>Lũy kế trong THÁNG (reset đầu mỗi tháng) đến ngày được chọn. VU1 = pháp nhân 'CTCP LD Kangaroo Quốc tế'; HTL = Hàng thanh lý. Ngành theo capture-basis (xác định tại thời điểm giao dịch). CẢNH BÁO LIÊN BẢNG: Doanh số thực tế cấp ngành lấy từ chỉ tiêu Doanh số bảng P&amp;L, KHÁC cách tính theo từng dòng hóa đơn ở bảng Chuỗi/Kênh.</t>
        </is>
      </c>
      <c r="H61" s="8" t="inlineStr"/>
    </row>
    <row r="62">
      <c r="A62" s="7" t="inlineStr">
        <is>
          <t>LN sau thuế</t>
        </is>
      </c>
      <c r="B62" s="8" t="inlineStr">
        <is>
          <t>Lợi nhuận sau thuế THỰC TẾ của riêng ngành, lũy kế trong tháng đến ngày được chọn. Lấy giá trị thực tế của chỉ tiêu 'Lợi nhuận sau thuế' (chỉ tiêu số 23 trong bảng P&amp;L) cho ngành đó, đã cộng dồn đến ngày được chọn. (Theo quy ước bảng P&amp;L: nếu lợi nhuận trước thuế &gt; 0 thì giữ lại 80%, ngược lại giữ nguyên — 80% là quy ước cố định, không phải thuế suất thực.)</t>
        </is>
      </c>
      <c r="C62" s="8" t="inlineStr">
        <is>
          <t>Lọc theo ngành của dòng.</t>
        </is>
      </c>
      <c r="D62" s="8" t="inlineStr">
        <is>
          <t>Là chỉ tiêu phái sinh cuối chuỗi P&amp;L của ngành; tổng hợp cấp ngành, không khớp lại theo từng dòng hóa đơn.</t>
        </is>
      </c>
      <c r="E62" s="8" t="inlineStr">
        <is>
          <t>Lợi nhuận sau thuế THỰC TẾ phân bổ cho riêng ngành, lũy kế trong tháng đến ngày được chọn. Lấy giá trị thực tế của chỉ tiêu 'Lợi nhuận sau thuế' trong bảng P&amp;L cho ngành đó, đã cộng dồn đến ngày được chọn. Quy ước: nếu Lợi nhuận TRƯỚC thuế &gt; 0 thì giữ lại 80% (× 0,8); ngược lại giữ nguyên.</t>
        </is>
      </c>
      <c r="F62" s="8" t="inlineStr">
        <is>
          <t>Lọc theo ngành của dòng.</t>
        </is>
      </c>
      <c r="G62" s="8" t="inlineStr">
        <is>
          <t>CẢNH BÁO MẠNH: '80%' là QUY ƯỚC CỐ ĐỊNH của báo cáo, KHÔNG phải thuế suất thực. Đây là chỉ tiêu phái sinh cuối chuỗi P&amp;L, tổng hợp cấp ngành, không khớp lại theo từng dòng hóa đơn. LƯU Ý: cột này tồn tại ở bảng Ngành nhưng cột 'LN còn phải thực hiện' của chính bảng Ngành KHÔNG dùng LN sau thuế mà dùng Lợi nhuận gộp để so kế hoạch.</t>
        </is>
      </c>
      <c r="H62" s="8" t="inlineStr"/>
    </row>
    <row r="63">
      <c r="A63" s="7" t="inlineStr">
        <is>
          <t>DS còn phải thực hiện</t>
        </is>
      </c>
      <c r="B63" s="8">
        <f> Doanh số (AOP) (kế hoạch của ngành) − Doanh số thực tế của ngành, cùng lũy kế đến ngày được chọn. Cho biết phần doanh số còn phải thực hiện để đạt kế hoạch: số dương = chưa đạt, số âm = đã vượt.</f>
        <v/>
      </c>
      <c r="C63" s="8" t="inlineStr">
        <is>
          <t>Lọc theo ngành của dòng.</t>
        </is>
      </c>
      <c r="D63" s="8" t="inlineStr">
        <is>
          <t>Hiệu của 'Doanh số (AOP)' và 'Doanh số thực tế' của ngành.</t>
        </is>
      </c>
      <c r="E63" s="8">
        <f> Doanh số (AOP) (kế hoạch CẢ THÁNG của ngành) − Doanh số thực tế của ngành (LŨY KẾ đến ngày được chọn). Số dương = chưa đạt, số âm = đã vượt.</f>
        <v/>
      </c>
      <c r="F63" s="8" t="inlineStr">
        <is>
          <t>Lọc theo ngành của dòng.</t>
        </is>
      </c>
      <c r="G63" s="8" t="inlineStr">
        <is>
          <t>Hiệu của 'Doanh số (AOP)' và 'Doanh số thực tế' của ngành, cùng cơ sở. Cùng nghĩa với cột 'Doanh số AOP − thực tế (còn phải thực hiện)' bảng Chuỗi/Kênh (chỉ khác nhãn). Quy ước dấu: dương = còn thiếu.</t>
        </is>
      </c>
      <c r="H63" s="8" t="inlineStr"/>
    </row>
    <row r="64">
      <c r="A64" s="7" t="inlineStr">
        <is>
          <t>LN còn phải thực hiện</t>
        </is>
      </c>
      <c r="B64" s="8">
        <f> LN Giao (AOP) (lợi nhuận giao kế hoạch của ngành) − Lợi nhuận gộp thực tế của ngành, cùng lũy kế đến ngày được chọn. Cho biết phần lợi nhuận còn phải thực hiện để đạt kế hoạch: số dương = chưa đạt, số âm = đã vượt.</f>
        <v/>
      </c>
      <c r="C64" s="8" t="inlineStr">
        <is>
          <t>Lọc theo ngành của dòng.</t>
        </is>
      </c>
      <c r="D64" s="8" t="inlineStr">
        <is>
          <t>Hiệu của 'LN Giao (AOP)' (kế hoạch) và lợi nhuận gộp thực tế của ngành (chỉ tiêu lợi nhuận gộp số 4 trong bảng P&amp;L). Lưu ý: ở bảng Ngành, số thực tế dùng để so là lợi nhuận gộp, khác với bảng Tập đoàn (dùng lợi nhuận sau thuế).</t>
        </is>
      </c>
      <c r="E64" s="8">
        <f> LN Giao (AOP) (lợi nhuận giao kế hoạch của ngành) − LỢI NHUẬN GỘP thực tế của ngành (= Doanh thu thuần − Giá vốn, lấy từ chỉ tiêu lợi nhuận gộp trong bảng P&amp;L của ngành), cùng lũy kế đến ngày được chọn. Số dương = chưa đạt, số âm = đã vượt.</f>
        <v/>
      </c>
      <c r="F64" s="8" t="inlineStr">
        <is>
          <t>Lọc theo ngành của dòng.</t>
        </is>
      </c>
      <c r="G64" s="8" t="inlineStr">
        <is>
          <t>Hiệu của 'LN Giao (AOP)' (kế hoạch) và Lợi nhuận GỘP thực tế của ngành. LƯU Ý LIÊN BẢNG: vế thực tế ở Ngành dùng LỢI NHUẬN GỘP — KHÁC bảng Chuỗi/Kênh (dùng LN gộp KD = đã trừ thêm CKKM/lương/...) và bảng Tập đoàn (dùng LN sau thuế). Đây là 3 mốc thực tế khác nhau cho cùng nhãn cột 'còn phải thực hiện'.</t>
        </is>
      </c>
      <c r="H64" s="8" t="inlineStr"/>
    </row>
    <row r="65">
      <c r="A65" s="7" t="inlineStr">
        <is>
          <t>CKKM còn được sử dụng</t>
        </is>
      </c>
      <c r="B65" s="8">
        <f> CP CKKM (AOP) (ngân sách khuyến mại kế hoạch của ngành) − CP CKKM thực tế của ngành, cùng lũy kế đến ngày được chọn. Cho biết phần ngân sách khuyến mại còn được sử dụng: số dương = còn dư, số âm = đã chi vượt.</f>
        <v/>
      </c>
      <c r="C65" s="8" t="inlineStr">
        <is>
          <t>Lọc theo ngành của dòng.</t>
        </is>
      </c>
      <c r="D65" s="8" t="inlineStr">
        <is>
          <t>Hiệu của 'CP CKKM (AOP)' (kế hoạch) và CP CKKM thực tế của ngành (chỉ tiêu CKKM số 5 trong bảng P&amp;L). Nhãn cột trên báo cáo viết là 'CKKM còn được sử sụng' (lỗi chính tả gốc).</t>
        </is>
      </c>
      <c r="E65" s="8">
        <f> CP CKKM (AOP) (ngân sách khuyến mại kế hoạch của ngành) − CP CKKM thực tế của ngành (lấy từ chỉ tiêu CP chiết khấu khuyến mại trong bảng P&amp;L của ngành), cùng lũy kế đến ngày được chọn. Số dương = còn dư ngân sách, số âm = đã chi vượt.</f>
        <v/>
      </c>
      <c r="F65" s="8" t="inlineStr">
        <is>
          <t>Lọc theo ngành của dòng.</t>
        </is>
      </c>
      <c r="G65" s="8" t="inlineStr">
        <is>
          <t>Hiệu của 'CP CKKM (AOP)' (kế hoạch) và CP CKKM thực tế của ngành. Cùng nghĩa với cột 'CKKM AOP − thực tế (còn được sử dụng)' bảng Chuỗi/Kênh (chỉ khác nhãn). Nhãn cột trên báo cáo live ghi 'CKKM còn được sử sụng' (lỗi chính tả gốc 'sụng' → đúng là 'dụng'); đề nghị KGR sửa nhãn hiển thị.</t>
        </is>
      </c>
      <c r="H65" s="8" t="inlineStr"/>
    </row>
  </sheetData>
  <mergeCells count="4">
    <mergeCell ref="A36:H36"/>
    <mergeCell ref="A3:H3"/>
    <mergeCell ref="A19:H19"/>
    <mergeCell ref="A51:H51"/>
  </mergeCells>
  <dataValidations count="1">
    <dataValidation sqref="H4:H66"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3"/>
  <sheetViews>
    <sheetView workbookViewId="0">
      <pane ySplit="2" topLeftCell="A3" activePane="bottomLeft" state="frozen"/>
      <selection pane="bottomLeft" activeCell="A1" sqref="A1"/>
    </sheetView>
  </sheetViews>
  <sheetFormatPr baseColWidth="8" defaultRowHeight="15"/>
  <cols>
    <col width="24" customWidth="1" min="1" max="1"/>
    <col width="48" customWidth="1" min="2" max="2"/>
    <col width="30" customWidth="1" min="3" max="3"/>
    <col width="24" customWidth="1" min="4" max="4"/>
    <col width="48" customWidth="1" min="5" max="5"/>
    <col width="30" customWidth="1" min="6" max="6"/>
    <col width="24" customWidth="1" min="7" max="7"/>
    <col width="12" customWidth="1" min="8" max="8"/>
  </cols>
  <sheetData>
    <row r="1">
      <c r="A1" s="4" t="inlineStr">
        <is>
          <t xml:space="preserve">(KGR) BRD.BC03-04-05_SFC/MIS · SFC Ước Tính · </t>
        </is>
      </c>
    </row>
    <row r="3">
      <c r="A3" s="5" t="inlineStr">
        <is>
          <t>SFC Ước Tính (bảng dự báo chi tiết)</t>
        </is>
      </c>
    </row>
    <row r="4" ht="28" customHeight="1">
      <c r="A4" s="6" t="inlineStr">
        <is>
          <t>Cột / Chỉ tiêu</t>
        </is>
      </c>
      <c r="B4" s="6" t="inlineStr">
        <is>
          <t>Cách tính (logic nghiệp vụ)</t>
        </is>
      </c>
      <c r="C4" s="6" t="inlineStr">
        <is>
          <t>Loại trừ / Bộ lọc</t>
        </is>
      </c>
      <c r="D4" s="6" t="inlineStr">
        <is>
          <t>Ghi chú</t>
        </is>
      </c>
      <c r="E4" s="6" t="inlineStr">
        <is>
          <t>Cách tính (QA)</t>
        </is>
      </c>
      <c r="F4" s="6" t="inlineStr">
        <is>
          <t>Loại trừ-Bộ lọc (QA)</t>
        </is>
      </c>
      <c r="G4" s="6" t="inlineStr">
        <is>
          <t>Ghi chú (QA)</t>
        </is>
      </c>
      <c r="H4" s="6" t="inlineStr">
        <is>
          <t>KGR xác nhận</t>
        </is>
      </c>
    </row>
    <row r="5">
      <c r="A5" s="7" t="inlineStr">
        <is>
          <t>CODE SP</t>
        </is>
      </c>
      <c r="B5" s="8" t="inlineStr">
        <is>
          <t>Nhãn phân nhóm: mã sản phẩm (mã vạch/UPC) của dòng dự báo. Mỗi dòng của bảng là một sản phẩm trong kế hoạch dự báo bán hàng (SFC). Dùng để nhận diện sản phẩm.</t>
        </is>
      </c>
      <c r="C5" s="8" t="inlineStr">
        <is>
          <t>—</t>
        </is>
      </c>
      <c r="D5" s="8" t="inlineStr">
        <is>
          <t>Cột chiều (dimension), không phải số liệu.</t>
        </is>
      </c>
      <c r="E5" s="8" t="inlineStr">
        <is>
          <t>(Giữ nguyên)</t>
        </is>
      </c>
      <c r="F5" s="8" t="inlineStr">
        <is>
          <t>(Giữ nguyên)</t>
        </is>
      </c>
      <c r="G5" s="8" t="inlineStr">
        <is>
          <t>(Giữ nguyên)</t>
        </is>
      </c>
      <c r="H5" s="8" t="inlineStr"/>
    </row>
    <row r="6">
      <c r="A6" s="7" t="inlineStr">
        <is>
          <t>TÊN SẢN PHẨM</t>
        </is>
      </c>
      <c r="B6" s="8" t="inlineStr">
        <is>
          <t>Nhãn phân nhóm: tên hiển thị của sản phẩm trên dòng dự báo. Đi cùng CODE SP để nhận diện sản phẩm.</t>
        </is>
      </c>
      <c r="C6" s="8" t="inlineStr">
        <is>
          <t>—</t>
        </is>
      </c>
      <c r="D6" s="8" t="inlineStr">
        <is>
          <t>Cột chiều (dimension), không phải số liệu.</t>
        </is>
      </c>
      <c r="E6" s="8" t="inlineStr">
        <is>
          <t>(Giữ nguyên)</t>
        </is>
      </c>
      <c r="F6" s="8" t="inlineStr">
        <is>
          <t>(Giữ nguyên)</t>
        </is>
      </c>
      <c r="G6" s="8" t="inlineStr">
        <is>
          <t>(Giữ nguyên)</t>
        </is>
      </c>
      <c r="H6" s="8" t="inlineStr"/>
    </row>
    <row r="7">
      <c r="A7" s="7" t="inlineStr">
        <is>
          <t>MODEL</t>
        </is>
      </c>
      <c r="B7" s="8" t="inlineStr">
        <is>
          <t>Nhãn phân nhóm: model (dòng máy) của sản phẩm trên dòng dự báo. Là cấp gộp trên của sản phẩm; nhiều sản phẩm có thể cùng một model.</t>
        </is>
      </c>
      <c r="C7" s="8" t="inlineStr">
        <is>
          <t>—</t>
        </is>
      </c>
      <c r="D7" s="8" t="inlineStr">
        <is>
          <t>Cột chiều (dimension), không phải số liệu.</t>
        </is>
      </c>
      <c r="E7" s="8" t="inlineStr">
        <is>
          <t>(Giữ nguyên)</t>
        </is>
      </c>
      <c r="F7" s="8" t="inlineStr">
        <is>
          <t>(Giữ nguyên)</t>
        </is>
      </c>
      <c r="G7" s="8" t="inlineStr">
        <is>
          <t>(Giữ nguyên)</t>
        </is>
      </c>
      <c r="H7" s="8" t="inlineStr"/>
    </row>
    <row r="8">
      <c r="A8" s="7" t="inlineStr">
        <is>
          <t>NGÀNH</t>
        </is>
      </c>
      <c r="B8" s="8" t="inlineStr">
        <is>
          <t>Nhãn phân nhóm: tên ngành hàng của sản phẩm trên dòng dự báo (ví dụ Water care, Home care, Cold &amp; Hygiene care, Sanitary care, hoặc Khác). Cho biết sản phẩm thuộc ngành hàng nào.</t>
        </is>
      </c>
      <c r="C8" s="8" t="inlineStr">
        <is>
          <t>—</t>
        </is>
      </c>
      <c r="D8" s="8" t="inlineStr">
        <is>
          <t>Cột chiều (dimension), không phải số liệu.</t>
        </is>
      </c>
      <c r="E8" s="8" t="inlineStr">
        <is>
          <t>(Giữ nguyên)</t>
        </is>
      </c>
      <c r="F8" s="8" t="inlineStr">
        <is>
          <t>(Giữ nguyên)</t>
        </is>
      </c>
      <c r="G8" s="8" t="inlineStr">
        <is>
          <t>(Giữ nguyên)</t>
        </is>
      </c>
      <c r="H8" s="8" t="inlineStr"/>
    </row>
    <row r="9">
      <c r="A9" s="7" t="inlineStr">
        <is>
          <t>NHÓM</t>
        </is>
      </c>
      <c r="B9" s="8" t="inlineStr">
        <is>
          <t>Nhãn phân nhóm: nhóm sản phẩm mà sản phẩm trên dòng dự báo thuộc về (cấp phân loại sản phẩm dưới ngành). Dùng để gom các sản phẩm cùng nhóm.</t>
        </is>
      </c>
      <c r="C9" s="8" t="inlineStr">
        <is>
          <t>—</t>
        </is>
      </c>
      <c r="D9" s="8" t="inlineStr">
        <is>
          <t>Cột chiều (dimension), không phải số liệu.</t>
        </is>
      </c>
      <c r="E9" s="8" t="inlineStr">
        <is>
          <t>(Giữ nguyên)</t>
        </is>
      </c>
      <c r="F9" s="8" t="inlineStr">
        <is>
          <t>(Giữ nguyên)</t>
        </is>
      </c>
      <c r="G9" s="8" t="inlineStr">
        <is>
          <t>(Giữ nguyên)</t>
        </is>
      </c>
      <c r="H9" s="8" t="inlineStr"/>
    </row>
    <row r="10">
      <c r="A10" s="7" t="inlineStr">
        <is>
          <t>ĐƠN VỊ</t>
        </is>
      </c>
      <c r="B10" s="8" t="inlineStr">
        <is>
          <t>Nhãn phân nhóm: mã đơn vị (pháp nhân) mà dòng dự báo thuộc về. Cho biết dự báo gắn với đơn vị/pháp nhân nào.</t>
        </is>
      </c>
      <c r="C10" s="8" t="inlineStr">
        <is>
          <t>—</t>
        </is>
      </c>
      <c r="D10" s="8" t="inlineStr">
        <is>
          <t>Cột chiều (dimension), không phải số liệu.</t>
        </is>
      </c>
      <c r="E10" s="8" t="inlineStr">
        <is>
          <t>(Giữ nguyên)</t>
        </is>
      </c>
      <c r="F10" s="8" t="inlineStr">
        <is>
          <t>(Giữ nguyên)</t>
        </is>
      </c>
      <c r="G10" s="8" t="inlineStr">
        <is>
          <t>(Giữ nguyên)</t>
        </is>
      </c>
      <c r="H10" s="8" t="inlineStr"/>
    </row>
    <row r="11">
      <c r="A11" s="7" t="inlineStr">
        <is>
          <t>KÊNH</t>
        </is>
      </c>
      <c r="B11" s="8" t="inlineStr">
        <is>
          <t>Nhãn phân nhóm: kênh bán hàng của dòng dự báo (ví dụ kênh phân phối, kênh hiện đại...). Cho biết dự báo này thuộc kênh bán nào.</t>
        </is>
      </c>
      <c r="C11" s="8" t="inlineStr">
        <is>
          <t>—</t>
        </is>
      </c>
      <c r="D11" s="8" t="inlineStr">
        <is>
          <t>Cột chiều (dimension), không phải số liệu.</t>
        </is>
      </c>
      <c r="E11" s="8" t="inlineStr">
        <is>
          <t>(Giữ nguyên)</t>
        </is>
      </c>
      <c r="F11" s="8" t="inlineStr">
        <is>
          <t>(Giữ nguyên)</t>
        </is>
      </c>
      <c r="G11" s="8" t="inlineStr">
        <is>
          <t>(Giữ nguyên)</t>
        </is>
      </c>
      <c r="H11" s="8" t="inlineStr"/>
    </row>
    <row r="12">
      <c r="A12" s="7" t="inlineStr">
        <is>
          <t>KHÁCH HÀNG</t>
        </is>
      </c>
      <c r="B12" s="8" t="inlineStr">
        <is>
          <t>Nhãn phân nhóm: tên công ty khách hàng của dòng dự báo. Cho biết dự báo được lập cho khách hàng nào.</t>
        </is>
      </c>
      <c r="C12" s="8" t="inlineStr">
        <is>
          <t>—</t>
        </is>
      </c>
      <c r="D12" s="8" t="inlineStr">
        <is>
          <t>Cột chiều (dimension), không phải số liệu.</t>
        </is>
      </c>
      <c r="E12" s="8" t="inlineStr">
        <is>
          <t>(Giữ nguyên)</t>
        </is>
      </c>
      <c r="F12" s="8" t="inlineStr">
        <is>
          <t>(Giữ nguyên)</t>
        </is>
      </c>
      <c r="G12" s="8" t="inlineStr">
        <is>
          <t>(Giữ nguyên)</t>
        </is>
      </c>
      <c r="H12" s="8" t="inlineStr"/>
    </row>
    <row r="13">
      <c r="A13" s="7" t="inlineStr">
        <is>
          <t>CHUỖI</t>
        </is>
      </c>
      <c r="B13" s="8" t="inlineStr">
        <is>
          <t>Nhãn phân nhóm: chuỗi bán hàng của dòng dự báo (chuỗi cửa hàng/hệ thống bán). Cho biết dự báo này thuộc chuỗi nào.</t>
        </is>
      </c>
      <c r="C13" s="8" t="inlineStr">
        <is>
          <t>—</t>
        </is>
      </c>
      <c r="D13" s="8" t="inlineStr">
        <is>
          <t>Cột chiều (dimension), không phải số liệu.</t>
        </is>
      </c>
      <c r="E13" s="8" t="inlineStr">
        <is>
          <t>(Giữ nguyên)</t>
        </is>
      </c>
      <c r="F13" s="8" t="inlineStr">
        <is>
          <t>(Giữ nguyên)</t>
        </is>
      </c>
      <c r="G13" s="8" t="inlineStr">
        <is>
          <t>(Giữ nguyên)</t>
        </is>
      </c>
      <c r="H13" s="8" t="inlineStr"/>
    </row>
    <row r="14">
      <c r="A14" s="7" t="inlineStr">
        <is>
          <t>PHÂN LOẠI SP</t>
        </is>
      </c>
      <c r="B14" s="8" t="inlineStr">
        <is>
          <t>Nhãn phân nhóm: phân loại hàng bán (Sales Category) của sản phẩm trên dòng dự báo — cho biết sản phẩm thuộc loại hàng bán nào theo danh mục phân loại của Kangaroo.</t>
        </is>
      </c>
      <c r="C14" s="8" t="inlineStr">
        <is>
          <t>—</t>
        </is>
      </c>
      <c r="D14" s="8" t="inlineStr">
        <is>
          <t>Cột chiều (dimension), không phải số liệu.</t>
        </is>
      </c>
      <c r="E14" s="8" t="inlineStr">
        <is>
          <t>(Giữ nguyên)</t>
        </is>
      </c>
      <c r="F14" s="8" t="inlineStr">
        <is>
          <t>(Giữ nguyên)</t>
        </is>
      </c>
      <c r="G14" s="8" t="inlineStr">
        <is>
          <t>(Giữ nguyên)</t>
        </is>
      </c>
      <c r="H14" s="8" t="inlineStr"/>
    </row>
    <row r="15">
      <c r="A15" s="7" t="inlineStr">
        <is>
          <t>XDF (Nhóm Xanh/Đỏ)</t>
        </is>
      </c>
      <c r="B15" s="8" t="inlineStr">
        <is>
          <t>Nhãn phân nhóm: nhóm Xanh/Đỏ của sản phẩm trên dòng dự báo. Xanh = nhóm sản phẩm ưu tiên, Đỏ = nhóm còn lại; mỗi sản phẩm luôn thuộc đúng 1 trong 2 nhóm.</t>
        </is>
      </c>
      <c r="C15" s="8" t="inlineStr">
        <is>
          <t>—</t>
        </is>
      </c>
      <c r="D15" s="8" t="inlineStr">
        <is>
          <t>Cột chiều (dimension), không phải số liệu. Tiêu đề cột trên báo cáo viết tắt là 'XDF' (Xanh/Đỏ).</t>
        </is>
      </c>
      <c r="E15" s="8" t="inlineStr">
        <is>
          <t>(Giữ nguyên)</t>
        </is>
      </c>
      <c r="F15" s="8" t="inlineStr">
        <is>
          <t>(Giữ nguyên)</t>
        </is>
      </c>
      <c r="G15" s="8" t="inlineStr">
        <is>
          <t>(Giữ nguyên)</t>
        </is>
      </c>
      <c r="H15" s="8" t="inlineStr"/>
    </row>
    <row r="16">
      <c r="A16" s="7" t="inlineStr">
        <is>
          <t>QUY HOẠCH SP</t>
        </is>
      </c>
      <c r="B16" s="8" t="inlineStr">
        <is>
          <t>Nhãn phân nhóm: phân loại quy hoạch sản phẩm (ví dụ SP mới / SP hiện hữu...) của sản phẩm trên dòng dự báo, theo danh mục quy hoạch sản phẩm của Kangaroo.</t>
        </is>
      </c>
      <c r="C16" s="8" t="inlineStr">
        <is>
          <t>—</t>
        </is>
      </c>
      <c r="D16" s="8" t="inlineStr">
        <is>
          <t>Cột chiều (dimension), không phải số liệu.</t>
        </is>
      </c>
      <c r="E16" s="8" t="inlineStr">
        <is>
          <t>(Giữ nguyên)</t>
        </is>
      </c>
      <c r="F16" s="8" t="inlineStr">
        <is>
          <t>(Giữ nguyên)</t>
        </is>
      </c>
      <c r="G16" s="8" t="inlineStr">
        <is>
          <t>(Giữ nguyên)</t>
        </is>
      </c>
      <c r="H16" s="8" t="inlineStr"/>
    </row>
    <row r="17">
      <c r="A17" s="7" t="inlineStr">
        <is>
          <t>SX/OEM</t>
        </is>
      </c>
      <c r="B17" s="8" t="inlineStr">
        <is>
          <t>Nhãn phân nhóm: nguồn sản phẩm — tự sản xuất (SX) hay gia công ngoài (OEM) — của sản phẩm trên dòng dự báo.</t>
        </is>
      </c>
      <c r="C17" s="8" t="inlineStr">
        <is>
          <t>—</t>
        </is>
      </c>
      <c r="D17" s="8" t="inlineStr">
        <is>
          <t>Cột chiều (dimension), không phải số liệu. Tiêu đề cột trên báo cáo viết tắt là 'SXOEM'.</t>
        </is>
      </c>
      <c r="E17" s="8" t="inlineStr">
        <is>
          <t>(Giữ nguyên)</t>
        </is>
      </c>
      <c r="F17" s="8" t="inlineStr">
        <is>
          <t>(Giữ nguyên)</t>
        </is>
      </c>
      <c r="G17" s="8" t="inlineStr">
        <is>
          <t>(Giữ nguyên)</t>
        </is>
      </c>
      <c r="H17" s="8" t="inlineStr"/>
    </row>
    <row r="18">
      <c r="A18" s="7" t="inlineStr">
        <is>
          <t>Giá SFC (+VAT)</t>
        </is>
      </c>
      <c r="B18" s="8" t="inlineStr">
        <is>
          <t>Đơn giá bán dự báo (đã gồm thuế GTGT) cho một đơn vị sản phẩm. Tính = DS SFC (tổng doanh số dự báo của dòng, gồm VAT — cộng 5 tuần W1→W5) ÷ Sản lượng SFC (tổng số lượng dự báo của dòng). Nói cách khác là đơn giá bình quân gồm VAT suy ra từ tổng doanh số dự báo chia cho tổng sản lượng dự báo. Nếu sản lượng dự báo = 0 → để trống (không chia được). Làm tròn về số nguyên.</t>
        </is>
      </c>
      <c r="C18" s="8" t="inlineStr">
        <is>
          <t>—</t>
        </is>
      </c>
      <c r="D18" s="8" t="inlineStr">
        <is>
          <t>Là số DẪN XUẤT từ 2 số dự báo gốc (DS SFC và Sản lượng SFC) lấy từ nguồn SFC. Đơn giá này đã GỒM VAT (đối chiếu với 'Doanh thu (−VAT)' là chưa VAT).</t>
        </is>
      </c>
      <c r="E18" s="8" t="inlineStr">
        <is>
          <t>Giá SFC (+VAT) = DS SFC ÷ Sản lượng SFC, trong đó DS SFC là tổng doanh số dự báo gồm VAT của dòng (DS W1+DS W2+DS W3+DS W4+DS W5) và Sản lượng SFC là tổng sản lượng dự báo của dòng. Là đơn giá bình quân ĐÃ GỒM VAT (tử và mẫu cùng thuộc một dòng dự báo). Làm tròn kết quả cuối về số nguyên. Nếu Sản lượng SFC = 0 thì để trống (không chia được).</t>
        </is>
      </c>
      <c r="F18" s="8" t="inlineStr">
        <is>
          <t>(Giữ nguyên)</t>
        </is>
      </c>
      <c r="G18" s="8" t="inlineStr">
        <is>
          <t>Số DẪN XUẤT từ hai số gốc SFC: DS SFC và Sản lượng SFC. Mẫu số là cột 'Sản lượng SFC' (tổng sản lượng dự báo do hệ SFC cấp), KHÔNG phải ΣSL W1..W5 — đây là hai nguồn khác nhau nên có thể lệch nhẹ. Làm tròn ở kết quả cuối.</t>
        </is>
      </c>
      <c r="H18" s="8" t="inlineStr"/>
    </row>
    <row r="19">
      <c r="A19" s="7" t="inlineStr">
        <is>
          <t>Sản lượng SFC</t>
        </is>
      </c>
      <c r="B19" s="8" t="inlineStr">
        <is>
          <t>Tổng số lượng (sản lượng) bán DỰ BÁO của sản phẩm trong kỳ dự báo. Là số lấy thẳng từ kế hoạch dự báo bán hàng (SFC) cho từng sản phẩm. Không phải sản lượng bán thực tế.</t>
        </is>
      </c>
      <c r="C19" s="8" t="inlineStr">
        <is>
          <t>—</t>
        </is>
      </c>
      <c r="D19" s="8" t="inlineStr">
        <is>
          <t>Số dự báo gốc lấy từ nguồn SFC — chi tiết cách dự báo do hệ SFC tính (nằm ngoài workbook OAC). Tiêu đề cột trên báo cáo là 'Quantity'.</t>
        </is>
      </c>
      <c r="E19" s="8" t="inlineStr">
        <is>
          <t>Tổng số lượng (sản lượng) bán DỰ BÁO của sản phẩm trong kỳ. Là số tổng GỐC lấy thẳng từ kế hoạch dự báo bán hàng (SFC) cho từng sản phẩm, KHÔNG suy ra bằng ΣSL W1..W5 (các cột tuần là trường gốc riêng nên tổng các tuần có thể lệch nhẹ với số này). Không phải sản lượng bán thực tế.</t>
        </is>
      </c>
      <c r="F19" s="8" t="inlineStr">
        <is>
          <t>(Giữ nguyên)</t>
        </is>
      </c>
      <c r="G19" s="8" t="inlineStr">
        <is>
          <t>Số tổng GỐC do hệ SFC cấp (ngoài workbook OAC); tiêu đề cột trên báo cáo là 'Quantity'. Cột 'Giá SFC (+VAT)' dùng chính số này làm mẫu số. ΣSL W1..W5 có thể không khớp tuyệt đối vì hệ SFC cấp số tổng và số tuần riêng rẽ.</t>
        </is>
      </c>
      <c r="H19" s="8" t="inlineStr"/>
    </row>
    <row r="20">
      <c r="A20" s="7" t="inlineStr">
        <is>
          <t>Đơn giá vốn (Unit Cost)</t>
        </is>
      </c>
      <c r="B20" s="8" t="inlineStr">
        <is>
          <t>Đơn giá vốn DỰ BÁO của một đơn vị sản phẩm — dùng để ước tính giá vốn cho dự báo. Là số lấy thẳng từ kế hoạch dự báo bán hàng (SFC) cho từng sản phẩm. Không phải đơn giá vốn thực tế.</t>
        </is>
      </c>
      <c r="C20" s="8" t="inlineStr">
        <is>
          <t>—</t>
        </is>
      </c>
      <c r="D20" s="8" t="inlineStr">
        <is>
          <t>Số dự báo gốc lấy từ nguồn SFC — chi tiết cách dự báo do hệ SFC tính. Tiêu đề cột trên báo cáo là 'Unit Cost'.</t>
        </is>
      </c>
      <c r="E20" s="8" t="inlineStr">
        <is>
          <t>(Giữ nguyên)</t>
        </is>
      </c>
      <c r="F20" s="8" t="inlineStr">
        <is>
          <t>(Giữ nguyên)</t>
        </is>
      </c>
      <c r="G20" s="8" t="inlineStr">
        <is>
          <t>(Giữ nguyên)</t>
        </is>
      </c>
      <c r="H20" s="8" t="inlineStr"/>
    </row>
    <row r="21">
      <c r="A21" s="7" t="inlineStr">
        <is>
          <t>Giá Vốn (dự báo)</t>
        </is>
      </c>
      <c r="B21" s="8" t="inlineStr">
        <is>
          <t>Tổng giá vốn hàng bán DỰ BÁO của sản phẩm trong kỳ — tương ứng đơn giá vốn dự báo × sản lượng dự báo. Là số lấy thẳng từ kế hoạch dự báo bán hàng (SFC) cho từng sản phẩm. Không phải giá vốn thực tế.</t>
        </is>
      </c>
      <c r="C21" s="8" t="inlineStr">
        <is>
          <t>—</t>
        </is>
      </c>
      <c r="D21" s="8" t="inlineStr">
        <is>
          <t>Số dự báo gốc lấy từ nguồn SFC — chi tiết cách dự báo do hệ SFC tính. Quan hệ chuẩn: Giá vốn dự báo = Đơn giá vốn dự báo × Sản lượng dự báo.</t>
        </is>
      </c>
      <c r="E21" s="8" t="inlineStr">
        <is>
          <t>(Giữ nguyên)</t>
        </is>
      </c>
      <c r="F21" s="8" t="inlineStr">
        <is>
          <t>(Giữ nguyên)</t>
        </is>
      </c>
      <c r="G21" s="8" t="inlineStr">
        <is>
          <t>(Giữ nguyên)</t>
        </is>
      </c>
      <c r="H21" s="8" t="inlineStr"/>
    </row>
    <row r="22">
      <c r="A22" s="7" t="inlineStr">
        <is>
          <t>DS SFC (Doanh số dự báo, +VAT)</t>
        </is>
      </c>
      <c r="B22" s="8" t="inlineStr">
        <is>
          <t>Tổng doanh số bán DỰ BÁO của sản phẩm trong kỳ, GỒM thuế GTGT. Tính = doanh số dự báo của 5 tuần cộng lại: DS W1 + DS W2 + DS W3 + DS W4 + DS W5. Mỗi DS W1..W5 là doanh số dự báo của tuần tương ứng, lấy thẳng từ kế hoạch dự báo bán hàng (SFC). Làm tròn về số nguyên.</t>
        </is>
      </c>
      <c r="C22" s="8" t="inlineStr">
        <is>
          <t>—</t>
        </is>
      </c>
      <c r="D22" s="8">
        <f> tổng 5 cột doanh số tuần dự báo (W1→W5). Các số tuần là dự báo gốc lấy từ nguồn SFC — chi tiết cách dự báo do hệ SFC tính. Đây là doanh số GỒM VAT.</f>
        <v/>
      </c>
      <c r="E22" s="8" t="inlineStr">
        <is>
          <t>(Giữ nguyên)</t>
        </is>
      </c>
      <c r="F22" s="8" t="inlineStr">
        <is>
          <t>(Giữ nguyên)</t>
        </is>
      </c>
      <c r="G22" s="8" t="inlineStr">
        <is>
          <t>(Giữ nguyên)</t>
        </is>
      </c>
      <c r="H22" s="8" t="inlineStr"/>
    </row>
    <row r="23">
      <c r="A23" s="7" t="inlineStr">
        <is>
          <t>Doanh thu (−VAT) (dự báo)</t>
        </is>
      </c>
      <c r="B23" s="8" t="inlineStr">
        <is>
          <t>Doanh thu THUẦN DỰ BÁO (chưa gồm VAT) của sản phẩm trong kỳ. Quan hệ chuẩn: Doanh thu thuần = Doanh số (gồm VAT) − thuế GTGT, tức là phần doanh số đã bỏ thuế. Là số lấy thẳng từ kế hoạch dự báo bán hàng (SFC). Không phải doanh thu thực tế.</t>
        </is>
      </c>
      <c r="C23" s="8" t="inlineStr">
        <is>
          <t>—</t>
        </is>
      </c>
      <c r="D23" s="8" t="inlineStr">
        <is>
          <t>Số dự báo gốc lấy từ nguồn SFC — chi tiết cách dự báo do hệ SFC tính. Đối chiếu: 'DS SFC' là gồm VAT, cột này là chưa VAT. Tiêu đề cột trên báo cáo là 'Doanh thu (-VAT)'.</t>
        </is>
      </c>
      <c r="E23" s="8" t="inlineStr">
        <is>
          <t>(Giữ nguyên)</t>
        </is>
      </c>
      <c r="F23" s="8" t="inlineStr">
        <is>
          <t>(Giữ nguyên)</t>
        </is>
      </c>
      <c r="G23" s="8" t="inlineStr">
        <is>
          <t>(Giữ nguyên)</t>
        </is>
      </c>
      <c r="H23" s="8" t="inlineStr"/>
    </row>
    <row r="24">
      <c r="A24" s="7" t="inlineStr">
        <is>
          <t>Lãi Gộp (dự báo)</t>
        </is>
      </c>
      <c r="B24" s="8" t="inlineStr">
        <is>
          <t>Lợi nhuận gộp DỰ BÁO của sản phẩm trong kỳ. Theo quan hệ chuẩn: Lãi gộp = Doanh thu thuần (−VAT) dự báo − Giá vốn dự báo. Là số lấy thẳng từ kế hoạch dự báo bán hàng (SFC). Không phải lãi gộp thực tế.</t>
        </is>
      </c>
      <c r="C24" s="8" t="inlineStr">
        <is>
          <t>—</t>
        </is>
      </c>
      <c r="D24" s="8" t="inlineStr">
        <is>
          <t>Số dự báo gốc lấy từ nguồn SFC — chi tiết cách dự báo do hệ SFC tính. Quan hệ chuẩn để đối chiếu: Lãi gộp = Doanh thu (−VAT) − Giá vốn.</t>
        </is>
      </c>
      <c r="E24" s="8" t="inlineStr">
        <is>
          <t>(Giữ nguyên)</t>
        </is>
      </c>
      <c r="F24" s="8" t="inlineStr">
        <is>
          <t>(Giữ nguyên)</t>
        </is>
      </c>
      <c r="G24" s="8" t="inlineStr">
        <is>
          <t>(Giữ nguyên)</t>
        </is>
      </c>
      <c r="H24" s="8" t="inlineStr"/>
    </row>
    <row r="25">
      <c r="A25" s="7" t="inlineStr">
        <is>
          <t>%LN Gộp (dự báo)</t>
        </is>
      </c>
      <c r="B25" s="8" t="inlineStr">
        <is>
          <t>Tỷ lệ phần trăm lãi gộp DỰ BÁO trên doanh thu của sản phẩm. Theo quan hệ chuẩn: %LN Gộp = Lãi gộp dự báo ÷ Doanh thu thuần (−VAT) dự báo, hiển thị dạng %. Là số lấy thẳng từ kế hoạch dự báo bán hàng (SFC). Không phải tỷ lệ thực tế.</t>
        </is>
      </c>
      <c r="C25" s="8" t="inlineStr">
        <is>
          <t>—</t>
        </is>
      </c>
      <c r="D25" s="8" t="inlineStr">
        <is>
          <t>Số dự báo gốc lấy từ nguồn SFC — chi tiết cách dự báo do hệ SFC tính. Quan hệ chuẩn để đối chiếu: %LN Gộp = Lãi gộp ÷ Doanh thu. Hiển thị 2 chữ số thập phân (%).</t>
        </is>
      </c>
      <c r="E25" s="8" t="inlineStr">
        <is>
          <t>(Giữ nguyên)</t>
        </is>
      </c>
      <c r="F25" s="8" t="inlineStr">
        <is>
          <t>(Giữ nguyên)</t>
        </is>
      </c>
      <c r="G25" s="8" t="inlineStr">
        <is>
          <t>(Giữ nguyên)</t>
        </is>
      </c>
      <c r="H25" s="8" t="inlineStr"/>
    </row>
    <row r="26">
      <c r="A26" s="7" t="inlineStr">
        <is>
          <t>%CKKM (dự báo)</t>
        </is>
      </c>
      <c r="B26" s="8" t="inlineStr">
        <is>
          <t>Tỷ lệ phần trăm chi phí chiết khấu khuyến mại (CKKM) DỰ BÁO áp cho sản phẩm — phần trăm CKKM trên doanh thu theo kế hoạch dự báo. Là số lấy thẳng từ kế hoạch dự báo bán hàng (SFC). Không phải tỷ lệ CKKM thực tế.</t>
        </is>
      </c>
      <c r="C26" s="8" t="inlineStr">
        <is>
          <t>—</t>
        </is>
      </c>
      <c r="D26" s="8" t="inlineStr">
        <is>
          <t>CKKM = chi phí chiết khấu/khuyến mãi thương mại. Số dự báo gốc lấy từ nguồn SFC — chi tiết cách dự báo do hệ SFC tính. Hiển thị dạng % (số nguyên).</t>
        </is>
      </c>
      <c r="E26" s="8" t="inlineStr">
        <is>
          <t>Tỷ lệ phần trăm chi phí chiết khấu khuyến mại (CKKM) DỰ BÁO áp cho sản phẩm — % CKKM trên doanh thu theo kế hoạch dự báo. Là số lấy thẳng từ kế hoạch dự báo bán hàng (SFC), KHÔNG phải tỷ lệ thực tế và KHÔNG được tính lại trong workbook. Hiển thị dạng % (số nguyên).</t>
        </is>
      </c>
      <c r="F26" s="8" t="inlineStr">
        <is>
          <t>(Giữ nguyên)</t>
        </is>
      </c>
      <c r="G26" s="8" t="inlineStr">
        <is>
          <t>CKKM = chi phí chiết khấu/khuyến mãi thương mại. Số dự báo gốc lấy từ nguồn SFC (ngoài OAC). Mẫu số của tỷ lệ % (Doanh thu −VAT hay Doanh số +VAT) do hệ SFC định nghĩa — workbook không tự tính nên KHÔNG chốt mẫu ở đây; cần KGR/hệ SFC xác nhận mẫu số để đối chiếu với dòng 'CP CKKM (dự báo)'.</t>
        </is>
      </c>
      <c r="H26" s="8" t="inlineStr"/>
    </row>
    <row r="27">
      <c r="A27" s="7" t="inlineStr">
        <is>
          <t>%GP ròng (dự báo)</t>
        </is>
      </c>
      <c r="B27" s="8" t="inlineStr">
        <is>
          <t>Tỷ lệ phần trăm lợi nhuận gộp RÒNG DỰ BÁO của sản phẩm — là tỷ lệ lãi gộp sau khi đã trừ tiếp chi phí khuyến mại. Theo quan hệ chuẩn: %GP ròng = %LN Gộp dự báo − %CKKM dự báo, hiển thị dạng %. Là số lấy thẳng từ kế hoạch dự báo bán hàng (SFC). Không phải tỷ lệ thực tế.</t>
        </is>
      </c>
      <c r="C27" s="8" t="inlineStr">
        <is>
          <t>—</t>
        </is>
      </c>
      <c r="D27" s="8" t="inlineStr">
        <is>
          <t>Số dự báo gốc lấy từ nguồn SFC — chi tiết cách dự báo do hệ SFC tính. Quan hệ chuẩn để đối chiếu: %GP ròng = %LN Gộp − %CKKM. Hiển thị 2 chữ số thập phân (%).</t>
        </is>
      </c>
      <c r="E27" s="8" t="inlineStr">
        <is>
          <t>(Giữ nguyên)</t>
        </is>
      </c>
      <c r="F27" s="8" t="inlineStr">
        <is>
          <t>(Giữ nguyên)</t>
        </is>
      </c>
      <c r="G27" s="8" t="inlineStr">
        <is>
          <t>(Giữ nguyên)</t>
        </is>
      </c>
      <c r="H27" s="8" t="inlineStr"/>
    </row>
    <row r="28">
      <c r="A28" s="7" t="inlineStr">
        <is>
          <t>CP CKKM (dự báo)</t>
        </is>
      </c>
      <c r="B28" s="8" t="inlineStr">
        <is>
          <t>Số tiền chi phí chiết khấu khuyến mại (CKKM) DỰ BÁO của sản phẩm trong kỳ — tương ứng tỷ lệ %CKKM dự báo áp trên doanh thu dự báo. Là số lấy thẳng từ kế hoạch dự báo bán hàng (SFC). Không phải chi phí CKKM thực tế.</t>
        </is>
      </c>
      <c r="C28" s="8" t="inlineStr">
        <is>
          <t>—</t>
        </is>
      </c>
      <c r="D28" s="8" t="inlineStr">
        <is>
          <t>CKKM = chi phí chiết khấu/khuyến mãi thương mại. Số dự báo gốc lấy từ nguồn SFC — chi tiết cách dự báo do hệ SFC tính. Tiêu đề cột trên báo cáo là 'CP CKKM'.</t>
        </is>
      </c>
      <c r="E28" s="8" t="inlineStr">
        <is>
          <t>Số tiền chi phí chiết khấu khuyến mại (CKKM) DỰ BÁO của sản phẩm trong kỳ — lấy thẳng từ kế hoạch dự báo bán hàng (SFC), KHÔNG được tính lại trong workbook (không phải %CKKM × doanh thu). Không phải chi phí CKKM thực tế. Quan hệ chuẩn để đối chiếu: CP CKKM ≈ %CKKM dự báo × doanh thu dự báo, theo cùng mẫu số mà hệ SFC dùng.</t>
        </is>
      </c>
      <c r="F28" s="8" t="inlineStr">
        <is>
          <t>(Giữ nguyên)</t>
        </is>
      </c>
      <c r="G28" s="8" t="inlineStr">
        <is>
          <t>CKKM = chi phí chiết khấu/khuyến mãi thương mại. Số dự báo gốc lấy từ nguồn SFC (ngoài OAC); tiêu đề cột trên báo cáo là 'CP CKKM'. Mẫu số dùng cho quan hệ đối chiếu với %CKKM do hệ SFC quy định (cần KGR/hệ SFC xác nhận); workbook không tự nhân lại.</t>
        </is>
      </c>
      <c r="H28" s="8" t="inlineStr"/>
    </row>
    <row r="29">
      <c r="A29" s="7" t="inlineStr">
        <is>
          <t>VAT (thuế suất suy ra)</t>
        </is>
      </c>
      <c r="B29" s="8" t="inlineStr">
        <is>
          <t>Tỷ lệ thuế GTGT bình quân suy ra cho dòng dự báo. Tính = (DS SFC — doanh số dự báo gồm VAT, cộng 5 tuần W1→W5) ÷ Doanh thu (−VAT) dự báo, rồi trừ 1; hiển thị dạng %. Ý nghĩa: phần chênh giữa doanh số gồm VAT và doanh thu chưa VAT chính là thuế GTGT, nên tỷ số (gồm VAT ÷ chưa VAT) − 1 = thuế suất bình quân. Nếu doanh thu chưa VAT = 0 → để trống (không chia được).</t>
        </is>
      </c>
      <c r="C29" s="8" t="inlineStr">
        <is>
          <t>—</t>
        </is>
      </c>
      <c r="D29" s="8" t="inlineStr">
        <is>
          <t>Là số DẪN XUẤT từ 2 số dự báo gốc (DS SFC gồm VAT và Doanh thu −VAT). Tiêu đề cột trên báo cáo viết tắt là 'VAT'. Hiển thị dạng % (số nguyên).</t>
        </is>
      </c>
      <c r="E29" s="8" t="inlineStr">
        <is>
          <t>VAT (thuế suất suy ra) = (DS SFC ÷ Doanh thu (−VAT) dự báo của dòng) − 1, trong đó DS SFC là doanh số dự báo gồm VAT của dòng (DS W1+...+DS W5). Hiển thị dạng %, làm tròn về số nguyên %. Ý nghĩa: chênh giữa doanh số gồm VAT và doanh thu chưa VAT chính là thuế GTGT, nên (gồm VAT ÷ chưa VAT) − 1 = thuế suất bình quân. Nếu Doanh thu (−VAT) ≤ 0 thì để trống (không chia được).</t>
        </is>
      </c>
      <c r="F29" s="8" t="inlineStr">
        <is>
          <t>(Giữ nguyên)</t>
        </is>
      </c>
      <c r="G29" s="8" t="inlineStr">
        <is>
          <t>Số DẪN XUẤT từ hai số dự báo gốc: DS SFC (gồm VAT) và Doanh thu (−VAT). Đây là thuế suất BÌNH QUÂN SUY RA, đã làm tròn về số nguyên %, KHÔNG phải thuế suất GTGT cài đặt. Tiêu đề cột trên báo cáo viết tắt là 'VAT'.</t>
        </is>
      </c>
      <c r="H29" s="8" t="inlineStr"/>
    </row>
    <row r="30">
      <c r="A30" s="7" t="inlineStr">
        <is>
          <t>DS W1 (doanh số dự báo tuần 1)</t>
        </is>
      </c>
      <c r="B30" s="8" t="inlineStr">
        <is>
          <t>Doanh số bán DỰ BÁO của sản phẩm trong TUẦN 1 của kỳ dự báo (gồm VAT). Là số lấy thẳng từ kế hoạch dự báo bán hàng (SFC), tách theo từng tuần. Không phải doanh số thực tế. (DS SFC tổng = DS W1 + W2 + W3 + W4 + W5.)</t>
        </is>
      </c>
      <c r="C30" s="8" t="inlineStr">
        <is>
          <t>—</t>
        </is>
      </c>
      <c r="D30" s="8" t="inlineStr">
        <is>
          <t>Số dự báo gốc lấy từ nguồn SFC — chi tiết cách dự báo do hệ SFC tính. W1 = tuần 1.</t>
        </is>
      </c>
      <c r="E30" s="8" t="inlineStr">
        <is>
          <t>(Giữ nguyên)</t>
        </is>
      </c>
      <c r="F30" s="8" t="inlineStr">
        <is>
          <t>(Giữ nguyên)</t>
        </is>
      </c>
      <c r="G30" s="8" t="inlineStr">
        <is>
          <t>(Giữ nguyên)</t>
        </is>
      </c>
      <c r="H30" s="8" t="inlineStr"/>
    </row>
    <row r="31">
      <c r="A31" s="7" t="inlineStr">
        <is>
          <t>DS W2 (doanh số dự báo tuần 2)</t>
        </is>
      </c>
      <c r="B31" s="8" t="inlineStr">
        <is>
          <t>Doanh số bán DỰ BÁO của sản phẩm trong TUẦN 2 của kỳ dự báo (gồm VAT). Là số lấy thẳng từ kế hoạch dự báo bán hàng (SFC), tách theo từng tuần. Không phải doanh số thực tế.</t>
        </is>
      </c>
      <c r="C31" s="8" t="inlineStr">
        <is>
          <t>—</t>
        </is>
      </c>
      <c r="D31" s="8" t="inlineStr">
        <is>
          <t>Số dự báo gốc lấy từ nguồn SFC — chi tiết cách dự báo do hệ SFC tính. W2 = tuần 2.</t>
        </is>
      </c>
      <c r="E31" s="8" t="inlineStr">
        <is>
          <t>(Giữ nguyên)</t>
        </is>
      </c>
      <c r="F31" s="8" t="inlineStr">
        <is>
          <t>(Giữ nguyên)</t>
        </is>
      </c>
      <c r="G31" s="8" t="inlineStr">
        <is>
          <t>(Giữ nguyên)</t>
        </is>
      </c>
      <c r="H31" s="8" t="inlineStr"/>
    </row>
    <row r="32">
      <c r="A32" s="7" t="inlineStr">
        <is>
          <t>DS W3 (doanh số dự báo tuần 3)</t>
        </is>
      </c>
      <c r="B32" s="8" t="inlineStr">
        <is>
          <t>Doanh số bán DỰ BÁO của sản phẩm trong TUẦN 3 của kỳ dự báo (gồm VAT). Là số lấy thẳng từ kế hoạch dự báo bán hàng (SFC), tách theo từng tuần. Không phải doanh số thực tế.</t>
        </is>
      </c>
      <c r="C32" s="8" t="inlineStr">
        <is>
          <t>—</t>
        </is>
      </c>
      <c r="D32" s="8" t="inlineStr">
        <is>
          <t>Số dự báo gốc lấy từ nguồn SFC — chi tiết cách dự báo do hệ SFC tính. W3 = tuần 3.</t>
        </is>
      </c>
      <c r="E32" s="8" t="inlineStr">
        <is>
          <t>(Giữ nguyên)</t>
        </is>
      </c>
      <c r="F32" s="8" t="inlineStr">
        <is>
          <t>(Giữ nguyên)</t>
        </is>
      </c>
      <c r="G32" s="8" t="inlineStr">
        <is>
          <t>(Giữ nguyên)</t>
        </is>
      </c>
      <c r="H32" s="8" t="inlineStr"/>
    </row>
    <row r="33">
      <c r="A33" s="7" t="inlineStr">
        <is>
          <t>DS W4 (doanh số dự báo tuần 4)</t>
        </is>
      </c>
      <c r="B33" s="8" t="inlineStr">
        <is>
          <t>Doanh số bán DỰ BÁO của sản phẩm trong TUẦN 4 của kỳ dự báo (gồm VAT). Là số lấy thẳng từ kế hoạch dự báo bán hàng (SFC), tách theo từng tuần. Không phải doanh số thực tế.</t>
        </is>
      </c>
      <c r="C33" s="8" t="inlineStr">
        <is>
          <t>—</t>
        </is>
      </c>
      <c r="D33" s="8" t="inlineStr">
        <is>
          <t>Số dự báo gốc lấy từ nguồn SFC — chi tiết cách dự báo do hệ SFC tính. W4 = tuần 4.</t>
        </is>
      </c>
      <c r="E33" s="8" t="inlineStr">
        <is>
          <t>(Giữ nguyên)</t>
        </is>
      </c>
      <c r="F33" s="8" t="inlineStr">
        <is>
          <t>(Giữ nguyên)</t>
        </is>
      </c>
      <c r="G33" s="8" t="inlineStr">
        <is>
          <t>(Giữ nguyên)</t>
        </is>
      </c>
      <c r="H33" s="8" t="inlineStr"/>
    </row>
    <row r="34">
      <c r="A34" s="7" t="inlineStr">
        <is>
          <t>DS W5 (doanh số dự báo tuần 5)</t>
        </is>
      </c>
      <c r="B34" s="8" t="inlineStr">
        <is>
          <t>Doanh số bán DỰ BÁO của sản phẩm trong TUẦN 5 của kỳ dự báo (gồm VAT). Là số lấy thẳng từ kế hoạch dự báo bán hàng (SFC), tách theo từng tuần; tuần 5 có thể bằng 0 nếu tháng dự báo không có tuần thứ 5. Không phải doanh số thực tế.</t>
        </is>
      </c>
      <c r="C34" s="8" t="inlineStr">
        <is>
          <t>—</t>
        </is>
      </c>
      <c r="D34" s="8" t="inlineStr">
        <is>
          <t>Số dự báo gốc lấy từ nguồn SFC — chi tiết cách dự báo do hệ SFC tính. W5 = tuần 5.</t>
        </is>
      </c>
      <c r="E34" s="8" t="inlineStr">
        <is>
          <t>(Giữ nguyên)</t>
        </is>
      </c>
      <c r="F34" s="8" t="inlineStr">
        <is>
          <t>(Giữ nguyên)</t>
        </is>
      </c>
      <c r="G34" s="8" t="inlineStr">
        <is>
          <t>(Giữ nguyên)</t>
        </is>
      </c>
      <c r="H34" s="8" t="inlineStr"/>
    </row>
    <row r="35">
      <c r="A35" s="7" t="inlineStr">
        <is>
          <t>SL W1 (sản lượng dự báo tuần 1)</t>
        </is>
      </c>
      <c r="B35" s="8" t="inlineStr">
        <is>
          <t>Sản lượng (số lượng) bán DỰ BÁO của sản phẩm trong TUẦN 1 của kỳ dự báo. Là số lấy thẳng từ kế hoạch dự báo bán hàng (SFC), tách theo từng tuần. Không phải sản lượng thực tế. (Sản lượng SFC tổng tương ứng tổng các tuần SL W1..W5.)</t>
        </is>
      </c>
      <c r="C35" s="8" t="inlineStr">
        <is>
          <t>—</t>
        </is>
      </c>
      <c r="D35" s="8" t="inlineStr">
        <is>
          <t>Số dự báo gốc lấy từ nguồn SFC — chi tiết cách dự báo do hệ SFC tính. SL = sản lượng, W1 = tuần 1.</t>
        </is>
      </c>
      <c r="E35" s="8" t="inlineStr">
        <is>
          <t>(Giữ nguyên)</t>
        </is>
      </c>
      <c r="F35" s="8" t="inlineStr">
        <is>
          <t>(Giữ nguyên)</t>
        </is>
      </c>
      <c r="G35" s="8" t="inlineStr">
        <is>
          <t>(Giữ nguyên)</t>
        </is>
      </c>
      <c r="H35" s="8" t="inlineStr"/>
    </row>
    <row r="36">
      <c r="A36" s="7" t="inlineStr">
        <is>
          <t>SL W2 (sản lượng dự báo tuần 2)</t>
        </is>
      </c>
      <c r="B36" s="8" t="inlineStr">
        <is>
          <t>Sản lượng (số lượng) bán DỰ BÁO của sản phẩm trong TUẦN 2 của kỳ dự báo. Là số lấy thẳng từ kế hoạch dự báo bán hàng (SFC), tách theo từng tuần. Không phải sản lượng thực tế.</t>
        </is>
      </c>
      <c r="C36" s="8" t="inlineStr">
        <is>
          <t>—</t>
        </is>
      </c>
      <c r="D36" s="8" t="inlineStr">
        <is>
          <t>Số dự báo gốc lấy từ nguồn SFC — chi tiết cách dự báo do hệ SFC tính. SL = sản lượng, W2 = tuần 2.</t>
        </is>
      </c>
      <c r="E36" s="8" t="inlineStr">
        <is>
          <t>(Giữ nguyên)</t>
        </is>
      </c>
      <c r="F36" s="8" t="inlineStr">
        <is>
          <t>(Giữ nguyên)</t>
        </is>
      </c>
      <c r="G36" s="8" t="inlineStr">
        <is>
          <t>(Giữ nguyên)</t>
        </is>
      </c>
      <c r="H36" s="8" t="inlineStr"/>
    </row>
    <row r="37">
      <c r="A37" s="7" t="inlineStr">
        <is>
          <t>SL W3 (sản lượng dự báo tuần 3)</t>
        </is>
      </c>
      <c r="B37" s="8" t="inlineStr">
        <is>
          <t>Sản lượng (số lượng) bán DỰ BÁO của sản phẩm trong TUẦN 3 của kỳ dự báo. Là số lấy thẳng từ kế hoạch dự báo bán hàng (SFC), tách theo từng tuần. Không phải sản lượng thực tế.</t>
        </is>
      </c>
      <c r="C37" s="8" t="inlineStr">
        <is>
          <t>—</t>
        </is>
      </c>
      <c r="D37" s="8" t="inlineStr">
        <is>
          <t>Số dự báo gốc lấy từ nguồn SFC — chi tiết cách dự báo do hệ SFC tính. SL = sản lượng, W3 = tuần 3.</t>
        </is>
      </c>
      <c r="E37" s="8" t="inlineStr">
        <is>
          <t>(Giữ nguyên)</t>
        </is>
      </c>
      <c r="F37" s="8" t="inlineStr">
        <is>
          <t>(Giữ nguyên)</t>
        </is>
      </c>
      <c r="G37" s="8" t="inlineStr">
        <is>
          <t>(Giữ nguyên)</t>
        </is>
      </c>
      <c r="H37" s="8" t="inlineStr"/>
    </row>
    <row r="38">
      <c r="A38" s="7" t="inlineStr">
        <is>
          <t>SL W4 (sản lượng dự báo tuần 4)</t>
        </is>
      </c>
      <c r="B38" s="8" t="inlineStr">
        <is>
          <t>Sản lượng (số lượng) bán DỰ BÁO của sản phẩm trong TUẦN 4 của kỳ dự báo. Là số lấy thẳng từ kế hoạch dự báo bán hàng (SFC), tách theo từng tuần. Không phải sản lượng thực tế.</t>
        </is>
      </c>
      <c r="C38" s="8" t="inlineStr">
        <is>
          <t>—</t>
        </is>
      </c>
      <c r="D38" s="8" t="inlineStr">
        <is>
          <t>Số dự báo gốc lấy từ nguồn SFC — chi tiết cách dự báo do hệ SFC tính. SL = sản lượng, W4 = tuần 4.</t>
        </is>
      </c>
      <c r="E38" s="8" t="inlineStr">
        <is>
          <t>(Giữ nguyên)</t>
        </is>
      </c>
      <c r="F38" s="8" t="inlineStr">
        <is>
          <t>(Giữ nguyên)</t>
        </is>
      </c>
      <c r="G38" s="8" t="inlineStr">
        <is>
          <t>(Giữ nguyên)</t>
        </is>
      </c>
      <c r="H38" s="8" t="inlineStr"/>
    </row>
    <row r="39">
      <c r="A39" s="7" t="inlineStr">
        <is>
          <t>SL W5 (sản lượng dự báo tuần 5)</t>
        </is>
      </c>
      <c r="B39" s="8" t="inlineStr">
        <is>
          <t>Sản lượng (số lượng) bán DỰ BÁO của sản phẩm trong TUẦN 5 của kỳ dự báo. Là số lấy thẳng từ kế hoạch dự báo bán hàng (SFC), tách theo từng tuần; tuần 5 có thể bằng 0 nếu tháng dự báo không có tuần thứ 5. Không phải sản lượng thực tế.</t>
        </is>
      </c>
      <c r="C39" s="8" t="inlineStr">
        <is>
          <t>—</t>
        </is>
      </c>
      <c r="D39" s="8" t="inlineStr">
        <is>
          <t>Số dự báo gốc lấy từ nguồn SFC — chi tiết cách dự báo do hệ SFC tính. SL = sản lượng, W5 = tuần 5.</t>
        </is>
      </c>
      <c r="E39" s="8" t="inlineStr">
        <is>
          <t>(Giữ nguyên)</t>
        </is>
      </c>
      <c r="F39" s="8" t="inlineStr">
        <is>
          <t>(Giữ nguyên)</t>
        </is>
      </c>
      <c r="G39" s="8" t="inlineStr">
        <is>
          <t>(Giữ nguyên)</t>
        </is>
      </c>
      <c r="H39" s="8" t="inlineStr"/>
    </row>
    <row r="40">
      <c r="A40" s="5" t="inlineStr">
        <is>
          <t>Biểu đồ SFC</t>
        </is>
      </c>
    </row>
    <row r="41" ht="28" customHeight="1">
      <c r="A41" s="6" t="inlineStr">
        <is>
          <t>Cột / Chỉ tiêu</t>
        </is>
      </c>
      <c r="B41" s="6" t="inlineStr">
        <is>
          <t>Cách tính (logic nghiệp vụ)</t>
        </is>
      </c>
      <c r="C41" s="6" t="inlineStr">
        <is>
          <t>Loại trừ / Bộ lọc</t>
        </is>
      </c>
      <c r="D41" s="6" t="inlineStr">
        <is>
          <t>Ghi chú</t>
        </is>
      </c>
      <c r="E41" s="6" t="inlineStr">
        <is>
          <t>Cách tính (QA)</t>
        </is>
      </c>
      <c r="F41" s="6" t="inlineStr">
        <is>
          <t>Loại trừ-Bộ lọc (QA)</t>
        </is>
      </c>
      <c r="G41" s="6" t="inlineStr">
        <is>
          <t>Ghi chú (QA)</t>
        </is>
      </c>
      <c r="H41" s="6" t="inlineStr">
        <is>
          <t>KGR xác nhận</t>
        </is>
      </c>
    </row>
    <row r="42">
      <c r="A42" s="7" t="inlineStr">
        <is>
          <t>Tổng Sản lượng SFC (ô số nổi)</t>
        </is>
      </c>
      <c r="B42" s="8" t="inlineStr">
        <is>
          <t>Ô số tổng (performance tile) hiển thị TỔNG sản lượng bán DỰ BÁO của toàn bộ các dòng đang hiện trên canvas (cộng cột 'Sản lượng SFC' của mọi sản phẩm sau khi áp bộ lọc canvas). Là số dự báo, không phải sản lượng thực tế.</t>
        </is>
      </c>
      <c r="C42" s="8" t="inlineStr">
        <is>
          <t>Theo bộ lọc đang chọn trên canvas (đổi bộ lọc → đổi tổng).</t>
        </is>
      </c>
      <c r="D42" s="8" t="inlineStr">
        <is>
          <t>Số dự báo gốc lấy từ nguồn SFC — chi tiết cách dự báo do hệ SFC tính. Đây là ô tổng của cột 'Sản lượng SFC' (Quantity) trong bảng chi tiết.</t>
        </is>
      </c>
      <c r="E42" s="8" t="inlineStr">
        <is>
          <t>(Giữ nguyên)</t>
        </is>
      </c>
      <c r="F42" s="8" t="inlineStr">
        <is>
          <t>(Giữ nguyên)</t>
        </is>
      </c>
      <c r="G42" s="8" t="inlineStr">
        <is>
          <t>(Giữ nguyên)</t>
        </is>
      </c>
      <c r="H42" s="8" t="inlineStr"/>
    </row>
    <row r="43">
      <c r="A43" s="7" t="inlineStr">
        <is>
          <t>Tổng DS SFC (ô số nổi)</t>
        </is>
      </c>
      <c r="B43" s="8" t="inlineStr">
        <is>
          <t>Ô số tổng (performance tile) hiển thị TỔNG doanh số bán DỰ BÁO (gồm VAT) của toàn bộ các dòng đang hiện trên canvas. Bằng tổng của cột 'DS SFC' (mỗi dòng = DS W1 + W2 + W3 + W4 + W5) cộng trên mọi sản phẩm sau khi áp bộ lọc canvas. Là số dự báo, không phải doanh số thực tế.</t>
        </is>
      </c>
      <c r="C43" s="8" t="inlineStr">
        <is>
          <t>Theo bộ lọc đang chọn trên canvas (đổi bộ lọc → đổi tổng).</t>
        </is>
      </c>
      <c r="D43" s="8" t="inlineStr">
        <is>
          <t>Số dự báo gốc lấy từ nguồn SFC — chi tiết cách dự báo do hệ SFC tính. Đây là ô tổng của cột 'DS SFC' trong bảng chi tiết.</t>
        </is>
      </c>
      <c r="E43" s="8" t="inlineStr">
        <is>
          <t>(Giữ nguyên)</t>
        </is>
      </c>
      <c r="F43" s="8" t="inlineStr">
        <is>
          <t>(Giữ nguyên)</t>
        </is>
      </c>
      <c r="G43" s="8" t="inlineStr">
        <is>
          <t>(Giữ nguyên)</t>
        </is>
      </c>
      <c r="H43" s="8" t="inlineStr"/>
    </row>
  </sheetData>
  <mergeCells count="2">
    <mergeCell ref="A3:H3"/>
    <mergeCell ref="A40:H40"/>
  </mergeCells>
  <dataValidations count="1">
    <dataValidation sqref="H4:H44"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
    </sheetView>
  </sheetViews>
  <sheetFormatPr baseColWidth="8" defaultRowHeight="15"/>
  <cols>
    <col width="24" customWidth="1" min="1" max="1"/>
    <col width="48" customWidth="1" min="2" max="2"/>
    <col width="30" customWidth="1" min="3" max="3"/>
    <col width="24" customWidth="1" min="4" max="4"/>
    <col width="48" customWidth="1" min="5" max="5"/>
    <col width="30" customWidth="1" min="6" max="6"/>
    <col width="24" customWidth="1" min="7" max="7"/>
    <col width="12" customWidth="1" min="8" max="8"/>
  </cols>
  <sheetData>
    <row r="1">
      <c r="A1" s="4" t="inlineStr">
        <is>
          <t xml:space="preserve">(KGR) BRD.BC03-04-05_SFC/MIS · SFC Thực Tế · </t>
        </is>
      </c>
    </row>
    <row r="3">
      <c r="A3" s="5" t="inlineStr">
        <is>
          <t>SFC Thực Tế (bảng chi tiết)</t>
        </is>
      </c>
    </row>
    <row r="4" ht="28" customHeight="1">
      <c r="A4" s="6" t="inlineStr">
        <is>
          <t>Cột / Chỉ tiêu</t>
        </is>
      </c>
      <c r="B4" s="6" t="inlineStr">
        <is>
          <t>Cách tính (logic nghiệp vụ)</t>
        </is>
      </c>
      <c r="C4" s="6" t="inlineStr">
        <is>
          <t>Loại trừ / Bộ lọc</t>
        </is>
      </c>
      <c r="D4" s="6" t="inlineStr">
        <is>
          <t>Ghi chú</t>
        </is>
      </c>
      <c r="E4" s="6" t="inlineStr">
        <is>
          <t>Cách tính (QA)</t>
        </is>
      </c>
      <c r="F4" s="6" t="inlineStr">
        <is>
          <t>Loại trừ-Bộ lọc (QA)</t>
        </is>
      </c>
      <c r="G4" s="6" t="inlineStr">
        <is>
          <t>Ghi chú (QA)</t>
        </is>
      </c>
      <c r="H4" s="6" t="inlineStr">
        <is>
          <t>KGR xác nhận</t>
        </is>
      </c>
    </row>
    <row r="5">
      <c r="A5" s="7" t="inlineStr">
        <is>
          <t>CODE SP (Mã hàng)</t>
        </is>
      </c>
      <c r="B5" s="8" t="inlineStr">
        <is>
          <t>Mã vạch/Code sản phẩm của dòng — nhãn nhận diện sản phẩm. Cột chiều (dimension), không phải số liệu; dùng để gom và nhận biết từng sản phẩm trên dòng giao dịch.</t>
        </is>
      </c>
      <c r="C5" s="8" t="inlineStr">
        <is>
          <t>—</t>
        </is>
      </c>
      <c r="D5" s="8" t="inlineStr">
        <is>
          <t>Cột chiều (dimension).</t>
        </is>
      </c>
      <c r="E5" s="8" t="inlineStr">
        <is>
          <t>(Giữ nguyên)</t>
        </is>
      </c>
      <c r="F5" s="8" t="inlineStr">
        <is>
          <t>(Giữ nguyên)</t>
        </is>
      </c>
      <c r="G5" s="8" t="inlineStr">
        <is>
          <t>(Giữ nguyên)</t>
        </is>
      </c>
      <c r="H5" s="8" t="inlineStr"/>
    </row>
    <row r="6">
      <c r="A6" s="7" t="inlineStr">
        <is>
          <t>TÊN SẢN PHẨM (Item Name)</t>
        </is>
      </c>
      <c r="B6" s="8" t="inlineStr">
        <is>
          <t>Tên đầy đủ của sản phẩm trên dòng — nhãn mô tả sản phẩm. Cột chiều (dimension), không phải số liệu.</t>
        </is>
      </c>
      <c r="C6" s="8" t="inlineStr">
        <is>
          <t>—</t>
        </is>
      </c>
      <c r="D6" s="8" t="inlineStr">
        <is>
          <t>Cột chiều (dimension).</t>
        </is>
      </c>
      <c r="E6" s="8" t="inlineStr">
        <is>
          <t>(Giữ nguyên)</t>
        </is>
      </c>
      <c r="F6" s="8" t="inlineStr">
        <is>
          <t>(Giữ nguyên)</t>
        </is>
      </c>
      <c r="G6" s="8" t="inlineStr">
        <is>
          <t>(Giữ nguyên)</t>
        </is>
      </c>
      <c r="H6" s="8" t="inlineStr"/>
    </row>
    <row r="7">
      <c r="A7" s="7" t="inlineStr">
        <is>
          <t>MODEL (Model name)</t>
        </is>
      </c>
      <c r="B7" s="8" t="inlineStr">
        <is>
          <t>Tên model (dòng máy/cấp model) của sản phẩm — nhãn nhóm sản phẩm theo model. Cột chiều (dimension), không phải số liệu.</t>
        </is>
      </c>
      <c r="C7" s="8" t="inlineStr">
        <is>
          <t>—</t>
        </is>
      </c>
      <c r="D7" s="8" t="inlineStr">
        <is>
          <t>Cột chiều (dimension). Model dùng làm khoá tra tỷ lệ khuyến mại CKKM (xem cột %CKKM).</t>
        </is>
      </c>
      <c r="E7" s="8" t="inlineStr">
        <is>
          <t>(Giữ nguyên)</t>
        </is>
      </c>
      <c r="F7" s="8" t="inlineStr">
        <is>
          <t>(Giữ nguyên)</t>
        </is>
      </c>
      <c r="G7" s="8" t="inlineStr">
        <is>
          <t>(Giữ nguyên)</t>
        </is>
      </c>
      <c r="H7" s="8" t="inlineStr"/>
    </row>
    <row r="8">
      <c r="A8" s="7" t="inlineStr">
        <is>
          <t>NGÀNH (Tên Ngành)</t>
        </is>
      </c>
      <c r="B8" s="8" t="inlineStr">
        <is>
          <t>Tên ngành hàng của dòng (Water care / Home care / Cold &amp; Hygiene care / Sanitary care / Khác). Ngành được xác định theo phân loại ngành ghi trên dòng giao dịch tại thời điểm phát sinh (capture-basis). Cột chiều (dimension), không phải số liệu.</t>
        </is>
      </c>
      <c r="C8" s="8" t="inlineStr">
        <is>
          <t>—</t>
        </is>
      </c>
      <c r="D8" s="8" t="inlineStr">
        <is>
          <t>Cột chiều (dimension). Ngành xác định tại thời điểm phát sinh giao dịch (capture-basis).</t>
        </is>
      </c>
      <c r="E8" s="8" t="inlineStr">
        <is>
          <t>(Giữ nguyên)</t>
        </is>
      </c>
      <c r="F8" s="8" t="inlineStr">
        <is>
          <t>(Giữ nguyên)</t>
        </is>
      </c>
      <c r="G8" s="8" t="inlineStr">
        <is>
          <t>(Giữ nguyên)</t>
        </is>
      </c>
      <c r="H8" s="8" t="inlineStr"/>
    </row>
    <row r="9">
      <c r="A9" s="7" t="inlineStr">
        <is>
          <t>NHÓM (Nhóm SP)</t>
        </is>
      </c>
      <c r="B9" s="8" t="inlineStr">
        <is>
          <t>Tên nhóm sản phẩm của dòng — nhãn phân nhóm sản phẩm. Cột chiều (dimension), không phải số liệu.</t>
        </is>
      </c>
      <c r="C9" s="8" t="inlineStr">
        <is>
          <t>—</t>
        </is>
      </c>
      <c r="D9" s="8" t="inlineStr">
        <is>
          <t>Cột chiều (dimension).</t>
        </is>
      </c>
      <c r="E9" s="8" t="inlineStr">
        <is>
          <t>(Giữ nguyên)</t>
        </is>
      </c>
      <c r="F9" s="8" t="inlineStr">
        <is>
          <t>(Giữ nguyên)</t>
        </is>
      </c>
      <c r="G9" s="8" t="inlineStr">
        <is>
          <t>(Giữ nguyên)</t>
        </is>
      </c>
      <c r="H9" s="8" t="inlineStr"/>
    </row>
    <row r="10">
      <c r="A10" s="7" t="inlineStr">
        <is>
          <t>ĐƠN VỊ (Mã Đơn Vị)</t>
        </is>
      </c>
      <c r="B10" s="8" t="inlineStr">
        <is>
          <t>Mã đơn vị (pháp nhân/công ty hạch toán) của dòng giao dịch — nhãn nhận diện đơn vị. Cột chiều (dimension), không phải số liệu.</t>
        </is>
      </c>
      <c r="C10" s="8" t="inlineStr">
        <is>
          <t>—</t>
        </is>
      </c>
      <c r="D10" s="8" t="inlineStr">
        <is>
          <t>Cột chiều (dimension).</t>
        </is>
      </c>
      <c r="E10" s="8" t="inlineStr">
        <is>
          <t>(Giữ nguyên)</t>
        </is>
      </c>
      <c r="F10" s="8" t="inlineStr">
        <is>
          <t>(Giữ nguyên)</t>
        </is>
      </c>
      <c r="G10" s="8" t="inlineStr">
        <is>
          <t>(Giữ nguyên)</t>
        </is>
      </c>
      <c r="H10" s="8" t="inlineStr"/>
    </row>
    <row r="11">
      <c r="A11" s="7" t="inlineStr">
        <is>
          <t>KÊNH (Tên Kênh)</t>
        </is>
      </c>
      <c r="B11" s="8" t="inlineStr">
        <is>
          <t>Tên kênh bán hàng của dòng — nhãn kênh. Cột chiều (dimension), không phải số liệu.</t>
        </is>
      </c>
      <c r="C11" s="8" t="inlineStr">
        <is>
          <t>—</t>
        </is>
      </c>
      <c r="D11" s="8" t="inlineStr">
        <is>
          <t>Cột chiều (dimension). Kênh là khoá ưu tiên 1 khi tra tỷ lệ khuyến mại CKKM (xem cột %CKKM).</t>
        </is>
      </c>
      <c r="E11" s="8" t="inlineStr">
        <is>
          <t>(Giữ nguyên)</t>
        </is>
      </c>
      <c r="F11" s="8" t="inlineStr">
        <is>
          <t>(Giữ nguyên)</t>
        </is>
      </c>
      <c r="G11" s="8" t="inlineStr">
        <is>
          <t>(Giữ nguyên)</t>
        </is>
      </c>
      <c r="H11" s="8" t="inlineStr"/>
    </row>
    <row r="12">
      <c r="A12" s="7" t="inlineStr">
        <is>
          <t>KHÁCH (Tên Khách Hàng)</t>
        </is>
      </c>
      <c r="B12" s="8" t="inlineStr">
        <is>
          <t>Tên khách hàng (công ty/đối tác mua) của dòng — nhãn khách hàng. Cột chiều (dimension), không phải số liệu.</t>
        </is>
      </c>
      <c r="C12" s="8" t="inlineStr">
        <is>
          <t>—</t>
        </is>
      </c>
      <c r="D12" s="8" t="inlineStr">
        <is>
          <t>Cột chiều (dimension).</t>
        </is>
      </c>
      <c r="E12" s="8" t="inlineStr">
        <is>
          <t>(Giữ nguyên)</t>
        </is>
      </c>
      <c r="F12" s="8" t="inlineStr">
        <is>
          <t>(Giữ nguyên)</t>
        </is>
      </c>
      <c r="G12" s="8" t="inlineStr">
        <is>
          <t>(Giữ nguyên)</t>
        </is>
      </c>
      <c r="H12" s="8" t="inlineStr"/>
    </row>
    <row r="13">
      <c r="A13" s="7" t="inlineStr">
        <is>
          <t>CHUỖI (Tên Chuỗi)</t>
        </is>
      </c>
      <c r="B13" s="8" t="inlineStr">
        <is>
          <t>Tên chuỗi bán hàng của dòng — nhãn chuỗi. Cột chiều (dimension), không phải số liệu.</t>
        </is>
      </c>
      <c r="C13" s="8" t="inlineStr">
        <is>
          <t>—</t>
        </is>
      </c>
      <c r="D13" s="8" t="inlineStr">
        <is>
          <t>Cột chiều (dimension). Chuỗi là khoá ưu tiên 2 khi tra tỷ lệ khuyến mại CKKM (xem cột %CKKM).</t>
        </is>
      </c>
      <c r="E13" s="8" t="inlineStr">
        <is>
          <t>(Giữ nguyên)</t>
        </is>
      </c>
      <c r="F13" s="8" t="inlineStr">
        <is>
          <t>(Giữ nguyên)</t>
        </is>
      </c>
      <c r="G13" s="8" t="inlineStr">
        <is>
          <t>(Giữ nguyên)</t>
        </is>
      </c>
      <c r="H13" s="8" t="inlineStr"/>
    </row>
    <row r="14">
      <c r="A14" s="7" t="inlineStr">
        <is>
          <t>PHÂN LOẠI SP (Sales Category)</t>
        </is>
      </c>
      <c r="B14" s="8" t="inlineStr">
        <is>
          <t>Phân loại bán hàng của sản phẩm trên dòng (nhóm hàng bán) — nhãn phân loại. Cột chiều (dimension), không phải số liệu.</t>
        </is>
      </c>
      <c r="C14" s="8" t="inlineStr">
        <is>
          <t>—</t>
        </is>
      </c>
      <c r="D14" s="8" t="inlineStr">
        <is>
          <t>Cột chiều (dimension).</t>
        </is>
      </c>
      <c r="E14" s="8" t="inlineStr">
        <is>
          <t>(Giữ nguyên)</t>
        </is>
      </c>
      <c r="F14" s="8" t="inlineStr">
        <is>
          <t>(Giữ nguyên)</t>
        </is>
      </c>
      <c r="G14" s="8" t="inlineStr">
        <is>
          <t>(Giữ nguyên)</t>
        </is>
      </c>
      <c r="H14" s="8" t="inlineStr"/>
    </row>
    <row r="15">
      <c r="A15" s="7" t="inlineStr">
        <is>
          <t>XDF (Nhóm xanh đỏ)</t>
        </is>
      </c>
      <c r="B15" s="8" t="inlineStr">
        <is>
          <t>Nhãn phân loại Xanh/Đỏ của sản phẩm: Xanh = nhóm sản phẩm ưu tiên, Đỏ = nhóm còn lại. Mỗi sản phẩm luôn thuộc đúng 1 trong 2 nhóm. Cột chiều (dimension), không phải số liệu.</t>
        </is>
      </c>
      <c r="C15" s="8" t="inlineStr">
        <is>
          <t>—</t>
        </is>
      </c>
      <c r="D15" s="8" t="inlineStr">
        <is>
          <t>Cột chiều (dimension). Xanh = nhóm ưu tiên, Đỏ = nhóm còn lại.</t>
        </is>
      </c>
      <c r="E15" s="8" t="inlineStr">
        <is>
          <t>(Giữ nguyên)</t>
        </is>
      </c>
      <c r="F15" s="8" t="inlineStr">
        <is>
          <t>(Giữ nguyên)</t>
        </is>
      </c>
      <c r="G15" s="8" t="inlineStr">
        <is>
          <t>(Giữ nguyên)</t>
        </is>
      </c>
      <c r="H15" s="8" t="inlineStr"/>
    </row>
    <row r="16">
      <c r="A16" s="7" t="inlineStr">
        <is>
          <t>QUY HOẠCH SP (Quy hoạch SP)</t>
        </is>
      </c>
      <c r="B16" s="8" t="inlineStr">
        <is>
          <t>Nhãn quy hoạch sản phẩm — phân loại sản phẩm theo quy hoạch (ví dụ giá trị 'SP mới' dùng để nhận biết sản phẩm mới). Cột chiều (dimension), không phải số liệu.</t>
        </is>
      </c>
      <c r="C16" s="8" t="inlineStr">
        <is>
          <t>—</t>
        </is>
      </c>
      <c r="D16" s="8" t="inlineStr">
        <is>
          <t>Cột chiều (dimension). Giá trị 'SP mới' là cờ nhận biết sản phẩm mới (dùng ở các chỉ tiêu tỷ trọng SP mới của báo cáo khác).</t>
        </is>
      </c>
      <c r="E16" s="8" t="inlineStr">
        <is>
          <t>(Giữ nguyên)</t>
        </is>
      </c>
      <c r="F16" s="8" t="inlineStr">
        <is>
          <t>(Giữ nguyên)</t>
        </is>
      </c>
      <c r="G16" s="8" t="inlineStr">
        <is>
          <t>(Giữ nguyên)</t>
        </is>
      </c>
      <c r="H16" s="8" t="inlineStr"/>
    </row>
    <row r="17">
      <c r="A17" s="7" t="inlineStr">
        <is>
          <t>SX/OEM (Phân nhóm SP)</t>
        </is>
      </c>
      <c r="B17" s="8" t="inlineStr">
        <is>
          <t>Nhãn nguồn gốc sản xuất của sản phẩm: tự sản xuất (SX) hay gia công ngoài (OEM). Cột chiều (dimension), không phải số liệu. (SX = sản xuất nội bộ; OEM = đặt gia công bên ngoài.)</t>
        </is>
      </c>
      <c r="C17" s="8" t="inlineStr">
        <is>
          <t>—</t>
        </is>
      </c>
      <c r="D17" s="8" t="inlineStr">
        <is>
          <t>Cột chiều (dimension).</t>
        </is>
      </c>
      <c r="E17" s="8" t="inlineStr">
        <is>
          <t>(Giữ nguyên)</t>
        </is>
      </c>
      <c r="F17" s="8" t="inlineStr">
        <is>
          <t>(Giữ nguyên)</t>
        </is>
      </c>
      <c r="G17" s="8" t="inlineStr">
        <is>
          <t>(Giữ nguyên)</t>
        </is>
      </c>
      <c r="H17" s="8" t="inlineStr"/>
    </row>
    <row r="18">
      <c r="A18" s="7" t="inlineStr">
        <is>
          <t>ĐƠN GIÁ (-VAT)</t>
        </is>
      </c>
      <c r="B18" s="8" t="inlineStr">
        <is>
          <t>Đơn giá bán bình quân chưa thuế GTGT của một đơn vị sản phẩm trên dòng. = Doanh thu thực tế của dòng ÷ Số lượng của dòng. Trong đó Doanh thu thực tế = doanh thu gốc chưa VAT trừ phần chiết khấu trên dòng (xem cột Doanh thu thực tế); Số lượng là số lượng bán của dòng. Trên báo cáo, cột hiển thị lấy dấu ngược lại (đổi dấu) so với giá trị gốc để trình bày dương cho dòng bán. Nếu Số lượng = 0 → để trống.</t>
        </is>
      </c>
      <c r="C18" s="8" t="inlineStr">
        <is>
          <t>Cùng phạm vi/bộ lọc với Doanh thu thực tế của dòng (xem cột Doanh thu thực tế).</t>
        </is>
      </c>
      <c r="D18" s="8" t="inlineStr">
        <is>
          <t>Đơn giá thuần (chưa VAT). VAT = thuế giá trị gia tăng.</t>
        </is>
      </c>
      <c r="E18" s="8" t="inlineStr">
        <is>
          <t>Đơn giá bán bình quân chưa thuế GTGT của một đơn vị sản phẩm trên dòng = Doanh thu thực tế của dòng ÷ Số lượng của dòng. Phép chia này thực hiện trên GIÁ TRỊ GỐC (cả Doanh thu thực tế lẫn Số lượng đều lấy giá trị gốc, chưa đổi dấu); sau khi có thương số, cột hiển thị mới đổi dấu đúng MỘT lần để dòng bán hiện số dương (không đổi dấu ở mẫu Số lượng rồi lại đổi dấu kết quả — tránh đổi dấu hai lần). Doanh thu thực tế = doanh thu gốc chưa VAT trừ phần chiết khấu trên dòng (xem cột Doanh thu thực tế). Nếu Số lượng = 0 → để trống.</t>
        </is>
      </c>
      <c r="F18" s="8" t="inlineStr">
        <is>
          <t>Cùng phạm vi/bộ lọc với Doanh thu thực tế của dòng (xem cột Doanh thu thực tế).</t>
        </is>
      </c>
      <c r="G18" s="8" t="inlineStr">
        <is>
          <t>Đơn giá thuần (chưa VAT). VAT = thuế giá trị gia tăng. Quy ước dấu: chia trên giá trị gốc rồi đổi dấu một lần khi trình bày — dòng bán hiện dương; chứng từ điều chỉnh giảm (credit memo) theo đó hiện chiều ngược lại.</t>
        </is>
      </c>
      <c r="H18" s="8" t="inlineStr"/>
    </row>
    <row r="19">
      <c r="A19" s="7" t="inlineStr">
        <is>
          <t>ĐƠN GIÁ (+VAT)</t>
        </is>
      </c>
      <c r="B19" s="8" t="inlineStr">
        <is>
          <t>Đơn giá bán bình quân đã gồm thuế GTGT của một đơn vị sản phẩm trên dòng. = Doanh số thực tế của dòng ÷ Số lượng của dòng. Trong đó Doanh số thực tế = Doanh thu thực tế + tiền thuế GTGT của dòng (xem cột Doanh số thực tế và Đơn giá (-VAT)). Trên báo cáo, cột hiển thị lấy dấu ngược lại (đổi dấu) so với giá trị gốc để trình bày dương cho dòng bán. Nếu Số lượng = 0 → để trống.</t>
        </is>
      </c>
      <c r="C19" s="8" t="inlineStr">
        <is>
          <t>Cùng phạm vi/bộ lọc với Doanh số thực tế của dòng.</t>
        </is>
      </c>
      <c r="D19" s="8" t="inlineStr">
        <is>
          <t>Đơn giá gồm VAT. VAT = thuế giá trị gia tăng.</t>
        </is>
      </c>
      <c r="E19" s="8" t="inlineStr">
        <is>
          <t>Đơn giá bán bình quân đã gồm thuế GTGT của một đơn vị sản phẩm trên dòng = Doanh số thực tế của dòng ÷ Số lượng của dòng. Phép chia thực hiện trên GIÁ TRỊ GỐC; sau đó cột hiển thị đổi dấu đúng MỘT lần (giống Đơn giá (-VAT)) để dòng bán hiện dương, tránh đổi dấu hai lần. Doanh số thực tế = Doanh thu thực tế + tiền thuế GTGT của dòng (xem cột Doanh số thực tế). Nếu Số lượng = 0 → để trống.</t>
        </is>
      </c>
      <c r="F19" s="8" t="inlineStr">
        <is>
          <t>Cùng phạm vi/bộ lọc với Doanh số thực tế của dòng (xem cột Doanh số thực tế).</t>
        </is>
      </c>
      <c r="G19" s="8" t="inlineStr">
        <is>
          <t>Đơn giá gồm VAT. VAT = thuế giá trị gia tăng. Tử số lấy từ cột Doanh số thực tế (không tham chiếu vòng tới chính Đơn giá (-VAT)). Quy ước dấu giống Đơn giá (-VAT): chia trên giá trị gốc rồi đổi dấu một lần khi trình bày.</t>
        </is>
      </c>
      <c r="H19" s="8" t="inlineStr"/>
    </row>
    <row r="20">
      <c r="A20" s="7" t="inlineStr">
        <is>
          <t>SỐ LƯỢNG (QUANTITY)</t>
        </is>
      </c>
      <c r="B20" s="8" t="inlineStr">
        <is>
          <t>Số lượng sản phẩm bán của dòng giao dịch. Trên báo cáo, cột hiển thị lấy dấu ngược lại (đổi dấu) so với giá trị gốc để trình bày số dương cho dòng bán; chứng từ điều chỉnh giảm (credit memo/trả hàng) làm số lượng đổi chiều tương ứng.</t>
        </is>
      </c>
      <c r="C20" s="8" t="inlineStr">
        <is>
          <t>—</t>
        </is>
      </c>
      <c r="D20" s="8" t="inlineStr">
        <is>
          <t>Số lượng bán; là số nguyên/decimal tuỳ đơn vị tính.</t>
        </is>
      </c>
      <c r="E20" s="8" t="inlineStr">
        <is>
          <t>(Giữ nguyên)</t>
        </is>
      </c>
      <c r="F20" s="8" t="inlineStr">
        <is>
          <t>(Giữ nguyên)</t>
        </is>
      </c>
      <c r="G20" s="8" t="inlineStr">
        <is>
          <t>(Giữ nguyên)</t>
        </is>
      </c>
      <c r="H20" s="8" t="inlineStr"/>
    </row>
    <row r="21">
      <c r="A21" s="7" t="inlineStr">
        <is>
          <t>DSTT — Doanh số thực tế</t>
        </is>
      </c>
      <c r="B21" s="8" t="inlineStr">
        <is>
          <t>Doanh số bán hàng THỰC TẾ (đã gồm thuế GTGT) của dòng. = Doanh thu thực tế của dòng + tiền thuế GTGT của dòng. Trong đó: (1) Doanh thu thực tế là doanh thu thuần chưa VAT (xem cột Doanh thu thực tế); (2) tiền thuế GTGT của dòng = thuế GTGT ghi trên dòng (theo thuế suất của dòng) cộng phần thuế tính trên khoản chiết khấu (chiết khấu × thuế suất của dòng). Hợp nhất hóa đơn bán (dấu +) với chứng từ điều chỉnh giảm/credit memo (dấu −).</t>
        </is>
      </c>
      <c r="C21" s="8" t="inlineStr">
        <is>
          <t>Chỉ giao dịch ĐÃ hạch toán (đã ghi sổ kế toán kỳ tương ứng); chỉ phát sinh thuộc tài khoản doanh thu và tài khoản thuế GTGT đầu ra (nhóm 'Income' và 'phải nộp ngắn hạn'); loại dòng có loại mặt hàng là 'dòng chiết khấu' (Discount); loại giao dịch của công ty con/chi nhánh nội bộ (mã phân khúc bán nội bộ = 14).</t>
        </is>
      </c>
      <c r="D21" s="8" t="inlineStr">
        <is>
          <t>Doanh số = doanh thu gồm VAT. Đây là doanh số thực tế cấp dòng giao dịch (không lũy kế theo ngày như báo cáo tổng hợp BC01).</t>
        </is>
      </c>
      <c r="E21" s="8" t="inlineStr">
        <is>
          <t>Doanh số bán hàng THỰC TẾ (đã gồm thuế GTGT) của dòng = Doanh thu thực tế của dòng + tiền thuế GTGT của dòng. Trong đó: (1) Doanh thu thực tế là doanh thu thuần chưa VAT (xem cột Doanh thu thực tế); (2) tiền thuế GTGT của dòng = số thuế GTGT ghi trên dòng + phần thuế tính trên khoản chiết khấu (chiết khấu × thuế suất của dòng) — xem cột Giá VAT. Hợp nhất hóa đơn bán (dấu +) với chứng từ điều chỉnh giảm/credit memo (dấu −), trên cùng quy ước dấu để dòng bán hiện dương.</t>
        </is>
      </c>
      <c r="F21" s="8" t="inlineStr">
        <is>
          <t>GIỮ (chỉ tính) các giao dịch đã hạch toán (đã ghi sổ kế toán kỳ tương ứng) thuộc tài khoản doanh thu và tài khoản thuế GTGT đầu ra (nhóm 'Income' và 'phải nộp ngắn hạn'). LOẠI KHỎI TÍNH: dòng có loại mặt hàng là 'dòng chiết khấu' (Discount); giao dịch thuộc kênh nội bộ (giao dịch nội bộ giữa công ty con/chi nhánh trong tập đoàn).</t>
        </is>
      </c>
      <c r="G21" s="8" t="inlineStr">
        <is>
          <t>Doanh số = doanh thu gồm VAT, ở cấp dòng giao dịch (không lũy kế theo ngày như báo cáo tổng hợp BC01). Về cơ sở thuế: tiền thuế của dòng = số thuế GTGT ghi trên dòng + phần thuế của khoản chiết khấu (theo thuế suất dòng) — đây là hai cấu phần được cộng lại, KHÔNG phải tính thuế hai lần trên cùng một cơ sở.</t>
        </is>
      </c>
      <c r="H21" s="8" t="inlineStr"/>
    </row>
    <row r="22">
      <c r="A22" s="7" t="inlineStr">
        <is>
          <t>DTTT — Doanh thu thực tế</t>
        </is>
      </c>
      <c r="B22" s="8" t="inlineStr">
        <is>
          <t>Doanh thu THUẦN (chưa VAT) của dòng. = Doanh thu gốc chưa VAT của dòng − phần chiết khấu (giảm trừ) của dòng. Trong đó: doanh thu gốc lấy theo giá trị doanh thu ghi trên dòng hóa đơn; phần chiết khấu là số tiền giảm trừ gắn với dòng (nếu không có thì coi = 0). Hợp nhất hóa đơn bán (dấu +) với chứng từ điều chỉnh giảm/credit memo (dấu −).</t>
        </is>
      </c>
      <c r="C22" s="8" t="inlineStr">
        <is>
          <t>Chỉ giao dịch ĐÃ hạch toán; chỉ phát sinh thuộc tài khoản doanh thu (và thuế GTGT đầu ra); loại dòng có loại mặt hàng là 'dòng chiết khấu' (Discount); loại giao dịch của công ty con/chi nhánh nội bộ (mã phân khúc bán nội bộ = 14).</t>
        </is>
      </c>
      <c r="D22" s="8" t="inlineStr">
        <is>
          <t>Doanh thu thuần (chưa VAT). Là cơ sở để tính Lãi gộp, %LN gộp, CKKM của dòng.</t>
        </is>
      </c>
      <c r="E22" s="8" t="inlineStr">
        <is>
          <t>(Giữ nguyên)</t>
        </is>
      </c>
      <c r="F22" s="8" t="inlineStr">
        <is>
          <t>(Giữ nguyên)</t>
        </is>
      </c>
      <c r="G22" s="8" t="inlineStr">
        <is>
          <t>(Giữ nguyên)</t>
        </is>
      </c>
      <c r="H22" s="8" t="inlineStr"/>
    </row>
    <row r="23">
      <c r="A23" s="7" t="inlineStr">
        <is>
          <t>UNIT COST — Đơn giá vốn</t>
        </is>
      </c>
      <c r="B23" s="8" t="inlineStr">
        <is>
          <t>Đơn giá vốn của một đơn vị sản phẩm trên dòng, lấy theo 3 lớp ưu tiên: (1) 'Giá vốn mục tiêu' — tra theo mã sản phẩm (MSP) + tháng của giao dịch; nếu có và khác 0 thì dùng. (2) Nếu không có → 'Giá vốn tồn kho' — tra theo mã item + đơn vị (pháp nhân) + kỳ; nếu có và khác 0 thì dùng. (3) Nếu vẫn không có → = (Doanh thu thực tế của dòng ÷ 2) ÷ |Số lượng| (tức 50% doanh thu chia cho số lượng). Khi nhiều dòng gộp lại, giá trị hiển thị lấy MỨC LỚN NHẤT (MAX) trong nhóm. ('Giá vốn mục tiêu' = bảng đơn giá vốn kế hoạch theo model/MSP; 'Giá vốn tồn kho' = đơn giá vốn bình quân tồn kho theo kỳ.)</t>
        </is>
      </c>
      <c r="C23" s="8" t="inlineStr">
        <is>
          <t>Bảng 'Giá vốn mục tiêu' và 'Giá vốn tồn kho' chỉ lấy bản ghi còn hiệu lực (không bị đánh dấu ngừng dùng).</t>
        </is>
      </c>
      <c r="D23" s="8" t="inlineStr">
        <is>
          <t>Là đơn giá vốn / 1 đơn vị (chưa nhân số lượng). Nhân với |Số lượng| sẽ ra Giá vốn của dòng.</t>
        </is>
      </c>
      <c r="E23" s="8" t="inlineStr">
        <is>
          <t>Đơn giá vốn của một đơn vị sản phẩm trên dòng, lấy theo 3 lớp ưu tiên: (1) 'Giá vốn mục tiêu' — tra theo mã sản phẩm (MSP) + tháng của giao dịch; nếu có và khác 0 thì dùng. (2) Nếu không có → 'Giá vốn tồn kho' — tra theo mã item + đơn vị (pháp nhân) + kỳ; nếu có và khác 0 thì dùng. (3) Nếu vẫn không có → = (Doanh thu thực tế của dòng ÷ 2) ÷ |Số lượng| (tức 50% doanh thu chia cho trị tuyệt đối số lượng). Khi nhiều dòng gộp lại, giá trị hiển thị lấy MỨC LỚN NHẤT (MAX) trong nhóm — đây là đơn giá vốn đại diện, KHÔNG dùng để suy ngược tổng tiền vốn của nhóm (tiền vốn nhóm = tổng Giá Vốn của từng dòng, xem cột Giá Vốn).</t>
        </is>
      </c>
      <c r="F23" s="8" t="inlineStr">
        <is>
          <t>Bảng 'Giá vốn mục tiêu' và 'Giá vốn tồn kho' chỉ lấy bản ghi còn hiệu lực (không bị đánh dấu ngừng dùng).</t>
        </is>
      </c>
      <c r="G23" s="8" t="inlineStr">
        <is>
          <t>Là đơn giá vốn / 1 đơn vị (chưa nhân số lượng). 'Kỳ' của Giá vốn tồn kho = kỳ (tháng) kế toán theo giao dịch. Vì giá trị gộp lấy MAX (không cộng dồn), KHÔNG nhân lại với tổng số lượng để ra Giá Vốn nhóm; Giá Vốn nhóm là tổng Giá Vốn của các dòng thành phần.</t>
        </is>
      </c>
      <c r="H23" s="8" t="inlineStr"/>
    </row>
    <row r="24">
      <c r="A24" s="7" t="inlineStr">
        <is>
          <t>Giá Vốn</t>
        </is>
      </c>
      <c r="B24" s="8" t="inlineStr">
        <is>
          <t>Giá vốn hàng bán của dòng. = Đơn giá vốn × |Số lượng| (trị tuyệt đối số lượng). Đơn giá vốn lấy theo 3 lớp ưu tiên: (1) 'Giá vốn mục tiêu' tra theo mã sản phẩm (MSP) + tháng giao dịch (nếu có, khác 0); (2) nếu không có → 'Giá vốn tồn kho' tra theo mã item + đơn vị (pháp nhân) + kỳ (nếu có, khác 0); (3) nếu vẫn không có → = 50% Doanh thu thực tế của dòng. Quy ước dấu: chứng từ điều chỉnh giảm (credit memo) đóng góp dấu âm theo số lượng/doanh thu của nó.</t>
        </is>
      </c>
      <c r="C24" s="8" t="inlineStr">
        <is>
          <t>Bảng giá vốn mục tiêu/tồn kho chỉ lấy bản ghi còn hiệu lực. Cùng phạm vi giao dịch với Doanh thu thực tế của dòng (đã hạch toán; loại dòng chiết khấu; loại giao dịch công ty con/chi nhánh nội bộ).</t>
        </is>
      </c>
      <c r="D24" s="8" t="inlineStr">
        <is>
          <t>Giá vốn 3 lớp (mục tiêu → tồn kho → 50% doanh thu) — giống cơ chế chuẩn của báo cáo KGR.</t>
        </is>
      </c>
      <c r="E24" s="8" t="inlineStr">
        <is>
          <t>Giá vốn hàng bán của một dòng, lấy đơn giá vốn theo 3 lớp ưu tiên rồi quy về tiền: (1) 'Giá vốn mục tiêu' tra theo mã sản phẩm (MSP) + tháng giao dịch (nếu có, khác 0) → Giá Vốn = đơn giá vốn mục tiêu × |Số lượng|; (2) nếu không có → 'Giá vốn tồn kho' tra theo mã item + đơn vị (pháp nhân) + kỳ (nếu có, khác 0) → Giá Vốn = đơn giá vốn tồn kho × |Số lượng|; (3) nếu cả hai đều không có → Giá Vốn = 50% Doanh thu thực tế của dòng (= Doanh thu thực tế ÷ 2), KHÔNG nhân |Số lượng| ở lớp này. Hàng tặng (doanh thu = 0) và dòng chiết khấu (Discount) → Giá Vốn = 0. Giá Vốn nhóm = tổng Giá Vốn các dòng thành phần.</t>
        </is>
      </c>
      <c r="F24" s="8" t="inlineStr">
        <is>
          <t>Bảng giá vốn mục tiêu/tồn kho chỉ lấy bản ghi còn hiệu lực. Cùng phạm vi giao dịch với Doanh thu thực tế của dòng (đã hạch toán; loại dòng chiết khấu Discount; loại giao dịch kênh nội bộ giữa công ty con/chi nhánh).</t>
        </is>
      </c>
      <c r="G24" s="8" t="inlineStr">
        <is>
          <t>Giá vốn 3 lớp (mục tiêu → tồn kho → 50% doanh thu) — giống cơ chế chuẩn của báo cáo KGR; LƯU Ý lớp 3 = 50% doanh thu của DÒNG, không nhân số lượng. Quy ước dấu: cột Giá Vốn dùng |Số lượng| nên luôn không âm theo độ lớn; phần đóng góp âm của chứng từ điều chỉnh giảm (credit memo) được xử lý khi hợp nhất với hóa đơn bán (giá vốn của credit memo bị TRỪ ra ở bước tính tiền vốn thực tế), không phải bằng cách đảo dấu trong chính cột này.</t>
        </is>
      </c>
      <c r="H24" s="8" t="inlineStr"/>
    </row>
    <row r="25">
      <c r="A25" s="7" t="inlineStr">
        <is>
          <t>LN Gộp — Lãi gộp</t>
        </is>
      </c>
      <c r="B25" s="8" t="inlineStr">
        <is>
          <t>Lãi gộp (lợi nhuận gộp) của dòng = Doanh thu thực tế của dòng − Giá vốn của dòng. Hai thành phần cùng dòng, cùng phạm vi/bộ lọc (như mô tả ở 2 cột Doanh thu thực tế và Giá Vốn).</t>
        </is>
      </c>
      <c r="C25" s="8" t="inlineStr">
        <is>
          <t>Cùng phạm vi với Doanh thu thực tế và Giá Vốn của dòng.</t>
        </is>
      </c>
      <c r="D25" s="8" t="inlineStr">
        <is>
          <t>Lãi gộp tuyệt đối (số tiền) của dòng. Phân biệt với cột %LN Gộp (tỷ lệ).</t>
        </is>
      </c>
      <c r="E25" s="8" t="inlineStr">
        <is>
          <t>(Giữ nguyên)</t>
        </is>
      </c>
      <c r="F25" s="8" t="inlineStr">
        <is>
          <t>(Giữ nguyên)</t>
        </is>
      </c>
      <c r="G25" s="8" t="inlineStr">
        <is>
          <t>(Giữ nguyên)</t>
        </is>
      </c>
      <c r="H25" s="8" t="inlineStr"/>
    </row>
    <row r="26">
      <c r="A26" s="7" t="inlineStr">
        <is>
          <t>%LN Gộp</t>
        </is>
      </c>
      <c r="B26" s="8" t="inlineStr">
        <is>
          <t>Tỷ lệ lãi gộp trên doanh thu của dòng = Lãi gộp (LN Gộp) ÷ Doanh thu thực tế của dòng, ra %. Trong đó Lãi gộp = Doanh thu thực tế − Giá vốn (cùng dòng). Nếu Doanh thu thực tế = 0 → để trống.</t>
        </is>
      </c>
      <c r="C26" s="8" t="inlineStr">
        <is>
          <t>Cùng phạm vi với Doanh thu thực tế của dòng.</t>
        </is>
      </c>
      <c r="D26" s="8" t="inlineStr">
        <is>
          <t>Là tỷ lệ %; phản ánh biên lãi gộp của dòng.</t>
        </is>
      </c>
      <c r="E26" s="8" t="inlineStr">
        <is>
          <t>(Giữ nguyên)</t>
        </is>
      </c>
      <c r="F26" s="8" t="inlineStr">
        <is>
          <t>(Giữ nguyên)</t>
        </is>
      </c>
      <c r="G26" s="8" t="inlineStr">
        <is>
          <t>(Giữ nguyên)</t>
        </is>
      </c>
      <c r="H26" s="8" t="inlineStr"/>
    </row>
    <row r="27">
      <c r="A27" s="7" t="inlineStr">
        <is>
          <t>%CKKM — Tỷ lệ chiết khấu khuyến mại (CKKM Per)</t>
        </is>
      </c>
      <c r="B27" s="8" t="inlineStr">
        <is>
          <t>Tỷ lệ % chiết khấu khuyến mại áp cho dòng, lấy từ chương trình khuyến mãi (trade promotion) theo thứ tự ưu tiên: (1) nếu có tỷ lệ khuyến mại theo tổ hợp (Model sản phẩm + Kênh bán + kỳ) → dùng tỷ lệ theo KÊNH; (2) nếu không có kênh nhưng có theo tổ hợp (Model sản phẩm + Chuỗi + kỳ) → dùng tỷ lệ theo CHUỖI; (3) nếu cả hai đều không có → = 0. Tỷ lệ được cộng gộp (tổng) theo tổ hợp Model + Kênh/Chuỗi + kỳ của chương trình khuyến mãi rồi khớp vào dòng theo Model + Kênh/Chuỗi của dòng. (CKKM = chi phí chiết khấu/khuyến mãi thương mại.)</t>
        </is>
      </c>
      <c r="C27" s="8" t="inlineStr">
        <is>
          <t>—</t>
        </is>
      </c>
      <c r="D27" s="8" t="inlineStr">
        <is>
          <t>Là tỷ lệ % (không phải số tiền). Ưu tiên Kênh trước, Chuỗi sau, cuối cùng 0. Dùng để tính CP CKKM.</t>
        </is>
      </c>
      <c r="E27" s="8" t="inlineStr">
        <is>
          <t>Tỷ lệ % chiết khấu khuyến mại áp cho dòng, lấy từ chương trình khuyến mãi (trade promotion) theo thứ tự ưu tiên: (1) nếu có tỷ lệ khuyến mại theo tổ hợp (Model sản phẩm + Kênh bán + kỳ) → dùng tỷ lệ theo KÊNH; (2) nếu không có theo kênh nhưng có theo tổ hợp (Model sản phẩm + Chuỗi + kỳ) → dùng tỷ lệ theo CHUỖI; (3) nếu cả hai đều không có → = 0. 'Kỳ' ở đây là kỳ (tháng) giao dịch của dòng. Nếu trong cùng một tổ hợp (Model + Kênh/Chuỗi + kỳ) có nhiều chương trình khuyến mãi, các tỷ lệ % được CỘNG GỘP (lấy tổng) thành một tỷ lệ tổng rồi khớp vào dòng theo Model + Kênh/Chuỗi của dòng.</t>
        </is>
      </c>
      <c r="F27" s="8" t="inlineStr">
        <is>
          <t>—</t>
        </is>
      </c>
      <c r="G27" s="8" t="inlineStr">
        <is>
          <t>Là tỷ lệ % (không phải số tiền). Ưu tiên Kênh trước, Chuỗi sau, cuối cùng 0. 'Kỳ' khớp theo tháng giao dịch. Tỷ lệ tổng là tổng các chương trình cùng tổ hợp — KGR nên xác nhận có cần đặt trần (cap) khi nhiều chương trình chồng nhau hay không. Dùng để tính CP CKKM.</t>
        </is>
      </c>
      <c r="H27" s="8" t="inlineStr"/>
    </row>
    <row r="28">
      <c r="A28" s="7" t="inlineStr">
        <is>
          <t>CP CKKM — Chi phí chiết khấu khuyến mại</t>
        </is>
      </c>
      <c r="B28" s="8" t="inlineStr">
        <is>
          <t>Chi phí chiết khấu khuyến mại của dòng = Doanh thu thực tế của dòng × Tỷ lệ %CKKM của dòng (xem cột %CKKM). Nếu tỷ lệ %CKKM = 0 (không khớp chương trình khuyến mãi nào) → chi phí = 0.</t>
        </is>
      </c>
      <c r="C28" s="8" t="inlineStr">
        <is>
          <t>Cùng phạm vi với Doanh thu thực tế của dòng.</t>
        </is>
      </c>
      <c r="D28" s="8" t="inlineStr">
        <is>
          <t>CKKM = chi phí chiết khấu/khuyến mãi thương mại. Là số tiền (= doanh thu × tỷ lệ).</t>
        </is>
      </c>
      <c r="E28" s="8" t="inlineStr">
        <is>
          <t>(Giữ nguyên)</t>
        </is>
      </c>
      <c r="F28" s="8" t="inlineStr">
        <is>
          <t>(Giữ nguyên)</t>
        </is>
      </c>
      <c r="G28" s="8" t="inlineStr">
        <is>
          <t>(Giữ nguyên)</t>
        </is>
      </c>
      <c r="H28" s="8" t="inlineStr"/>
    </row>
    <row r="29">
      <c r="A29" s="7" t="inlineStr">
        <is>
          <t>%GP Ròng — Tỷ lệ lãi gộp ròng</t>
        </is>
      </c>
      <c r="B29" s="8" t="inlineStr">
        <is>
          <t>Tỷ lệ lãi gộp ròng của dòng = %LN Gộp − %CKKM (tỷ lệ chiết khấu khuyến mại). Tức biên lãi gộp sau khi trừ tỷ lệ khuyến mại. Nếu thành phần nào trống thì coi = 0 trước khi trừ. Ra %.</t>
        </is>
      </c>
      <c r="C29" s="8" t="inlineStr">
        <is>
          <t>Cùng phạm vi với Doanh thu thực tế của dòng.</t>
        </is>
      </c>
      <c r="D29" s="8" t="inlineStr">
        <is>
          <t>GP ròng = Gross Profit ròng (biên lãi gộp đã trừ tỷ lệ CKKM). Là tỷ lệ %.</t>
        </is>
      </c>
      <c r="E29" s="8" t="inlineStr">
        <is>
          <t>(Giữ nguyên)</t>
        </is>
      </c>
      <c r="F29" s="8" t="inlineStr">
        <is>
          <t>(Giữ nguyên)</t>
        </is>
      </c>
      <c r="G29" s="8" t="inlineStr">
        <is>
          <t>(Giữ nguyên)</t>
        </is>
      </c>
      <c r="H29" s="8" t="inlineStr"/>
    </row>
    <row r="30">
      <c r="A30" s="7" t="inlineStr">
        <is>
          <t>TAX RATE — Thuế suất</t>
        </is>
      </c>
      <c r="B30" s="8" t="inlineStr">
        <is>
          <t>Thuế suất thuế GTGT của dòng (ví dụ 8%, 10%) — lấy theo thuế suất ghi trên dòng hóa đơn (theo mã thuế của dòng). Là tỷ lệ %.</t>
        </is>
      </c>
      <c r="C30" s="8" t="inlineStr">
        <is>
          <t>—</t>
        </is>
      </c>
      <c r="D30" s="8" t="inlineStr">
        <is>
          <t>Thuế suất theo từng dòng (không phải một suất cố định toàn báo cáo). VAT = thuế giá trị gia tăng.</t>
        </is>
      </c>
      <c r="E30" s="8" t="inlineStr">
        <is>
          <t>(Giữ nguyên)</t>
        </is>
      </c>
      <c r="F30" s="8" t="inlineStr">
        <is>
          <t>(Giữ nguyên)</t>
        </is>
      </c>
      <c r="G30" s="8" t="inlineStr">
        <is>
          <t>(Giữ nguyên)</t>
        </is>
      </c>
      <c r="H30" s="8" t="inlineStr"/>
    </row>
    <row r="31">
      <c r="A31" s="7" t="inlineStr">
        <is>
          <t>GIÁ VAT — Tiền thuế GTGT</t>
        </is>
      </c>
      <c r="B31" s="8" t="inlineStr">
        <is>
          <t>Tiền thuế GTGT của dòng = số thuế GTGT ghi trên dòng hóa đơn + (phần chiết khấu của dòng × thuế suất của dòng). Tức gồm thuế của doanh thu và thuế tính trên phần chiết khấu. Trên báo cáo, cột hiển thị lấy dấu ngược lại (đổi dấu) so với giá trị gốc.</t>
        </is>
      </c>
      <c r="C31" s="8" t="inlineStr">
        <is>
          <t>Cùng phạm vi với Doanh thu thực tế của dòng.</t>
        </is>
      </c>
      <c r="D31" s="8" t="inlineStr">
        <is>
          <t>Là số tiền thuế GTGT (đầu ra) của dòng. Chính phần này cộng vào Doanh thu thực tế để ra Doanh số thực tế (gồm VAT).</t>
        </is>
      </c>
      <c r="E31" s="8" t="inlineStr">
        <is>
          <t>Tiền thuế GTGT của dòng = số thuế GTGT ghi trên dòng hóa đơn + (phần chiết khấu của dòng × thuế suất của dòng), tức gồm hai cấu phần: thuế của doanh thu ghi trên dòng và phần thuế tính trên khoản chiết khấu (theo thuế suất dòng). Trên báo cáo, cột hiển thị đổi dấu đúng MỘT lần theo cùng quy ước với Doanh thu thực tế và Số lượng, để dòng bán hiện dương và để Doanh số thực tế = Doanh thu thực tế + Giá VAT đúng dấu (hóa đơn bán dấu +, credit memo dấu −).</t>
        </is>
      </c>
      <c r="F31" s="8" t="inlineStr">
        <is>
          <t>Cùng phạm vi với Doanh thu thực tế của dòng (xem cột Doanh thu thực tế).</t>
        </is>
      </c>
      <c r="G31" s="8" t="inlineStr">
        <is>
          <t>Là số tiền thuế GTGT (đầu ra) của dòng; cộng vào Doanh thu thực tế để ra Doanh số thực tế (gồm VAT). Cơ sở thuế: hệ thống cộng số thuế ghi trên dòng với phần thuế của khoản chiết khấu (theo thuế suất dòng) — đây là hai cấu phần khác nhau, không phải tính thuế hai lần trên cùng một cơ sở.</t>
        </is>
      </c>
      <c r="H31" s="8" t="inlineStr"/>
    </row>
  </sheetData>
  <mergeCells count="1">
    <mergeCell ref="A3:H3"/>
  </mergeCells>
  <dataValidations count="1">
    <dataValidation sqref="H4:H32"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workbookViewId="0">
      <pane ySplit="2" topLeftCell="A3" activePane="bottomLeft" state="frozen"/>
      <selection pane="bottomLeft" activeCell="A1" sqref="A1"/>
    </sheetView>
  </sheetViews>
  <sheetFormatPr baseColWidth="8" defaultRowHeight="15"/>
  <cols>
    <col width="24" customWidth="1" min="1" max="1"/>
    <col width="48" customWidth="1" min="2" max="2"/>
    <col width="30" customWidth="1" min="3" max="3"/>
    <col width="24" customWidth="1" min="4" max="4"/>
    <col width="48" customWidth="1" min="5" max="5"/>
    <col width="30" customWidth="1" min="6" max="6"/>
    <col width="24" customWidth="1" min="7" max="7"/>
    <col width="12" customWidth="1" min="8" max="8"/>
  </cols>
  <sheetData>
    <row r="1">
      <c r="A1" s="4" t="inlineStr">
        <is>
          <t xml:space="preserve">(KGR) BRD.BC03-04-05_SFC/MIS · MIS · </t>
        </is>
      </c>
    </row>
    <row r="3">
      <c r="A3" s="5" t="inlineStr">
        <is>
          <t>MIS (bảng chi tiết giao dịch)</t>
        </is>
      </c>
    </row>
    <row r="4" ht="28" customHeight="1">
      <c r="A4" s="6" t="inlineStr">
        <is>
          <t>Cột / Chỉ tiêu</t>
        </is>
      </c>
      <c r="B4" s="6" t="inlineStr">
        <is>
          <t>Cách tính (logic nghiệp vụ)</t>
        </is>
      </c>
      <c r="C4" s="6" t="inlineStr">
        <is>
          <t>Loại trừ / Bộ lọc</t>
        </is>
      </c>
      <c r="D4" s="6" t="inlineStr">
        <is>
          <t>Ghi chú</t>
        </is>
      </c>
      <c r="E4" s="6" t="inlineStr">
        <is>
          <t>Cách tính (QA)</t>
        </is>
      </c>
      <c r="F4" s="6" t="inlineStr">
        <is>
          <t>Loại trừ-Bộ lọc (QA)</t>
        </is>
      </c>
      <c r="G4" s="6" t="inlineStr">
        <is>
          <t>Ghi chú (QA)</t>
        </is>
      </c>
      <c r="H4" s="6" t="inlineStr">
        <is>
          <t>KGR xác nhận</t>
        </is>
      </c>
    </row>
    <row r="5">
      <c r="A5" s="7" t="inlineStr">
        <is>
          <t>Ngày CT (ngày trong tháng)</t>
        </is>
      </c>
      <c r="B5" s="8" t="inlineStr">
        <is>
          <t>Số thứ tự NGÀY trong tháng của ngày chứng từ giao dịch (lấy phần 'ngày' từ ngày chứng từ; ví dụ ngày chứng từ 16/05 → 16). Cột chiều (dimension), không phải số liệu; dùng để xem giao dịch theo ngày.</t>
        </is>
      </c>
      <c r="C5" s="8" t="inlineStr">
        <is>
          <t>—</t>
        </is>
      </c>
      <c r="D5" s="8" t="inlineStr">
        <is>
          <t>Cột chiều (dimension). CT = chứng từ. Chỉ là số ngày (1–31), không kèm tháng/năm.</t>
        </is>
      </c>
      <c r="E5" s="8" t="inlineStr">
        <is>
          <t>(Giữ nguyên)</t>
        </is>
      </c>
      <c r="F5" s="8" t="inlineStr">
        <is>
          <t>(Giữ nguyên)</t>
        </is>
      </c>
      <c r="G5" s="8" t="inlineStr">
        <is>
          <t>(Giữ nguyên)</t>
        </is>
      </c>
      <c r="H5" s="8" t="inlineStr"/>
    </row>
    <row r="6">
      <c r="A6" s="7" t="inlineStr">
        <is>
          <t>Số CT (Số CT FAST)</t>
        </is>
      </c>
      <c r="B6" s="8" t="inlineStr">
        <is>
          <t>Số chứng từ của giao dịch theo hệ thống kế toán FAST — nhãn nhận diện chứng từ. Cột chiều (dimension), không phải số liệu.</t>
        </is>
      </c>
      <c r="C6" s="8" t="inlineStr">
        <is>
          <t>—</t>
        </is>
      </c>
      <c r="D6" s="8" t="inlineStr">
        <is>
          <t>Cột chiều (dimension). CT = chứng từ; FAST = phần mềm kế toán nguồn.</t>
        </is>
      </c>
      <c r="E6" s="8" t="inlineStr">
        <is>
          <t>(Giữ nguyên)</t>
        </is>
      </c>
      <c r="F6" s="8" t="inlineStr">
        <is>
          <t>(Giữ nguyên)</t>
        </is>
      </c>
      <c r="G6" s="8" t="inlineStr">
        <is>
          <t>(Giữ nguyên)</t>
        </is>
      </c>
      <c r="H6" s="8" t="inlineStr"/>
    </row>
    <row r="7">
      <c r="A7" s="7" t="inlineStr">
        <is>
          <t>Mã NVBH</t>
        </is>
      </c>
      <c r="B7" s="8" t="inlineStr">
        <is>
          <t>Mã nhân viên bán hàng phụ trách giao dịch — nhãn nhận diện nhân viên/ASM. Cột chiều (dimension), không phải số liệu.</t>
        </is>
      </c>
      <c r="C7" s="8" t="inlineStr">
        <is>
          <t>—</t>
        </is>
      </c>
      <c r="D7" s="8" t="inlineStr">
        <is>
          <t>Cột chiều (dimension). NVBH = nhân viên bán hàng.</t>
        </is>
      </c>
      <c r="E7" s="8" t="inlineStr">
        <is>
          <t>(Giữ nguyên)</t>
        </is>
      </c>
      <c r="F7" s="8" t="inlineStr">
        <is>
          <t>(Giữ nguyên)</t>
        </is>
      </c>
      <c r="G7" s="8" t="inlineStr">
        <is>
          <t>(Giữ nguyên)</t>
        </is>
      </c>
      <c r="H7" s="8" t="inlineStr"/>
    </row>
    <row r="8">
      <c r="A8" s="7" t="inlineStr">
        <is>
          <t>Diễn giải</t>
        </is>
      </c>
      <c r="B8" s="8" t="inlineStr">
        <is>
          <t>Nội dung diễn giải/ghi chú của chứng từ giao dịch — nhãn mô tả. Cột chiều (dimension), không phải số liệu.</t>
        </is>
      </c>
      <c r="C8" s="8" t="inlineStr">
        <is>
          <t>—</t>
        </is>
      </c>
      <c r="D8" s="8" t="inlineStr">
        <is>
          <t>Cột chiều (dimension).</t>
        </is>
      </c>
      <c r="E8" s="8" t="inlineStr">
        <is>
          <t>(Giữ nguyên)</t>
        </is>
      </c>
      <c r="F8" s="8" t="inlineStr">
        <is>
          <t>(Giữ nguyên)</t>
        </is>
      </c>
      <c r="G8" s="8" t="inlineStr">
        <is>
          <t>(Giữ nguyên)</t>
        </is>
      </c>
      <c r="H8" s="8" t="inlineStr"/>
    </row>
    <row r="9">
      <c r="A9" s="7" t="inlineStr">
        <is>
          <t>TK đối ứng (TKĐƯ)</t>
        </is>
      </c>
      <c r="B9" s="8" t="inlineStr">
        <is>
          <t>Số tài khoản kế toán đối ứng của dòng giao dịch — nhãn tài khoản. Cột chiều (dimension), không phải số liệu.</t>
        </is>
      </c>
      <c r="C9" s="8" t="inlineStr">
        <is>
          <t>—</t>
        </is>
      </c>
      <c r="D9" s="8" t="inlineStr">
        <is>
          <t>Cột chiều (dimension). TKĐƯ = tài khoản đối ứng.</t>
        </is>
      </c>
      <c r="E9" s="8" t="inlineStr">
        <is>
          <t>(Giữ nguyên)</t>
        </is>
      </c>
      <c r="F9" s="8" t="inlineStr">
        <is>
          <t>(Giữ nguyên)</t>
        </is>
      </c>
      <c r="G9" s="8" t="inlineStr">
        <is>
          <t>(Giữ nguyên)</t>
        </is>
      </c>
      <c r="H9" s="8" t="inlineStr"/>
    </row>
    <row r="10">
      <c r="A10" s="7" t="inlineStr">
        <is>
          <t>Mã Đơn Vị</t>
        </is>
      </c>
      <c r="B10" s="8" t="inlineStr">
        <is>
          <t>Mã đơn vị (pháp nhân/công ty hạch toán) của dòng giao dịch — nhãn nhận diện đơn vị. Cột chiều (dimension), không phải số liệu.</t>
        </is>
      </c>
      <c r="C10" s="8" t="inlineStr">
        <is>
          <t>—</t>
        </is>
      </c>
      <c r="D10" s="8" t="inlineStr">
        <is>
          <t>Cột chiều (dimension).</t>
        </is>
      </c>
      <c r="E10" s="8" t="inlineStr">
        <is>
          <t>(Giữ nguyên)</t>
        </is>
      </c>
      <c r="F10" s="8" t="inlineStr">
        <is>
          <t>(Giữ nguyên)</t>
        </is>
      </c>
      <c r="G10" s="8" t="inlineStr">
        <is>
          <t>(Giữ nguyên)</t>
        </is>
      </c>
      <c r="H10" s="8" t="inlineStr"/>
    </row>
    <row r="11">
      <c r="A11" s="7" t="inlineStr">
        <is>
          <t>Mã KH</t>
        </is>
      </c>
      <c r="B11" s="8" t="inlineStr">
        <is>
          <t>Mã khách hàng của dòng giao dịch — nhãn nhận diện khách hàng. Cột chiều (dimension), không phải số liệu.</t>
        </is>
      </c>
      <c r="C11" s="8" t="inlineStr">
        <is>
          <t>—</t>
        </is>
      </c>
      <c r="D11" s="8" t="inlineStr">
        <is>
          <t>Cột chiều (dimension). KH = khách hàng.</t>
        </is>
      </c>
      <c r="E11" s="8" t="inlineStr">
        <is>
          <t>(Giữ nguyên)</t>
        </is>
      </c>
      <c r="F11" s="8" t="inlineStr">
        <is>
          <t>(Giữ nguyên)</t>
        </is>
      </c>
      <c r="G11" s="8" t="inlineStr">
        <is>
          <t>(Giữ nguyên)</t>
        </is>
      </c>
      <c r="H11" s="8" t="inlineStr"/>
    </row>
    <row r="12">
      <c r="A12" s="7" t="inlineStr">
        <is>
          <t>Tên Khách Hàng</t>
        </is>
      </c>
      <c r="B12" s="8" t="inlineStr">
        <is>
          <t>Tên khách hàng (công ty/đối tác mua) của dòng — nhãn khách hàng. Cột chiều (dimension), không phải số liệu.</t>
        </is>
      </c>
      <c r="C12" s="8" t="inlineStr">
        <is>
          <t>—</t>
        </is>
      </c>
      <c r="D12" s="8" t="inlineStr">
        <is>
          <t>Cột chiều (dimension).</t>
        </is>
      </c>
      <c r="E12" s="8" t="inlineStr">
        <is>
          <t>(Giữ nguyên)</t>
        </is>
      </c>
      <c r="F12" s="8" t="inlineStr">
        <is>
          <t>(Giữ nguyên)</t>
        </is>
      </c>
      <c r="G12" s="8" t="inlineStr">
        <is>
          <t>(Giữ nguyên)</t>
        </is>
      </c>
      <c r="H12" s="8" t="inlineStr"/>
    </row>
    <row r="13">
      <c r="A13" s="7" t="inlineStr">
        <is>
          <t>Tên Kênh</t>
        </is>
      </c>
      <c r="B13" s="8" t="inlineStr">
        <is>
          <t>Tên kênh bán hàng của dòng — nhãn kênh. Cột chiều (dimension), không phải số liệu.</t>
        </is>
      </c>
      <c r="C13" s="8" t="inlineStr">
        <is>
          <t>—</t>
        </is>
      </c>
      <c r="D13" s="8" t="inlineStr">
        <is>
          <t>Cột chiều (dimension).</t>
        </is>
      </c>
      <c r="E13" s="8" t="inlineStr">
        <is>
          <t>(Giữ nguyên)</t>
        </is>
      </c>
      <c r="F13" s="8" t="inlineStr">
        <is>
          <t>(Giữ nguyên)</t>
        </is>
      </c>
      <c r="G13" s="8" t="inlineStr">
        <is>
          <t>(Giữ nguyên)</t>
        </is>
      </c>
      <c r="H13" s="8" t="inlineStr"/>
    </row>
    <row r="14">
      <c r="A14" s="7" t="inlineStr">
        <is>
          <t>Tên Chuỗi</t>
        </is>
      </c>
      <c r="B14" s="8" t="inlineStr">
        <is>
          <t>Tên chuỗi bán hàng của dòng — nhãn chuỗi. Cột chiều (dimension), không phải số liệu.</t>
        </is>
      </c>
      <c r="C14" s="8" t="inlineStr">
        <is>
          <t>—</t>
        </is>
      </c>
      <c r="D14" s="8" t="inlineStr">
        <is>
          <t>Cột chiều (dimension).</t>
        </is>
      </c>
      <c r="E14" s="8" t="inlineStr">
        <is>
          <t>(Giữ nguyên)</t>
        </is>
      </c>
      <c r="F14" s="8" t="inlineStr">
        <is>
          <t>(Giữ nguyên)</t>
        </is>
      </c>
      <c r="G14" s="8" t="inlineStr">
        <is>
          <t>(Giữ nguyên)</t>
        </is>
      </c>
      <c r="H14" s="8" t="inlineStr"/>
    </row>
    <row r="15">
      <c r="A15" s="7" t="inlineStr">
        <is>
          <t>Vụ việc</t>
        </is>
      </c>
      <c r="B15" s="8" t="inlineStr">
        <is>
          <t>Nhãn 'vụ việc' (phân loại nghiệp vụ/đối tượng tập hợp chi phí) gắn với dòng giao dịch. Cột chiều (dimension), không phải số liệu.</t>
        </is>
      </c>
      <c r="C15" s="8" t="inlineStr">
        <is>
          <t>—</t>
        </is>
      </c>
      <c r="D15" s="8" t="inlineStr">
        <is>
          <t>Cột chiều (dimension). Ở các báo cáo KGR, vụ việc dùng để nhận biết các loại đặc thù (ví dụ hàng thanh lý).</t>
        </is>
      </c>
      <c r="E15" s="8" t="inlineStr">
        <is>
          <t>(Giữ nguyên)</t>
        </is>
      </c>
      <c r="F15" s="8" t="inlineStr">
        <is>
          <t>(Giữ nguyên)</t>
        </is>
      </c>
      <c r="G15" s="8" t="inlineStr">
        <is>
          <t>(Giữ nguyên)</t>
        </is>
      </c>
      <c r="H15" s="8" t="inlineStr"/>
    </row>
    <row r="16">
      <c r="A16" s="7" t="inlineStr">
        <is>
          <t>Tên Ngành</t>
        </is>
      </c>
      <c r="B16" s="8" t="inlineStr">
        <is>
          <t>Tên ngành hàng của dòng (Water care / Home care / Cold &amp; Hygiene care / Sanitary care / Khác), xác định theo phân loại ngành ghi trên dòng tại thời điểm phát sinh (capture-basis). Cột chiều (dimension), không phải số liệu.</t>
        </is>
      </c>
      <c r="C16" s="8" t="inlineStr">
        <is>
          <t>—</t>
        </is>
      </c>
      <c r="D16" s="8" t="inlineStr">
        <is>
          <t>Cột chiều (dimension). Ngành capture-basis (point-in-time).</t>
        </is>
      </c>
      <c r="E16" s="8" t="inlineStr">
        <is>
          <t>(Giữ nguyên)</t>
        </is>
      </c>
      <c r="F16" s="8" t="inlineStr">
        <is>
          <t>(Giữ nguyên)</t>
        </is>
      </c>
      <c r="G16" s="8" t="inlineStr">
        <is>
          <t>(Giữ nguyên)</t>
        </is>
      </c>
      <c r="H16" s="8" t="inlineStr"/>
    </row>
    <row r="17">
      <c r="A17" s="7" t="inlineStr">
        <is>
          <t>Nhóm xanh đỏ (XDF)</t>
        </is>
      </c>
      <c r="B17" s="8" t="inlineStr">
        <is>
          <t>Nhãn phân loại Xanh/Đỏ của sản phẩm: Xanh = nhóm sản phẩm ưu tiên, Đỏ = nhóm còn lại. Mỗi sản phẩm luôn thuộc đúng 1 trong 2 nhóm. Cột chiều (dimension), không phải số liệu.</t>
        </is>
      </c>
      <c r="C17" s="8" t="inlineStr">
        <is>
          <t>—</t>
        </is>
      </c>
      <c r="D17" s="8" t="inlineStr">
        <is>
          <t>Cột chiều (dimension). Xanh = nhóm ưu tiên, Đỏ = nhóm còn lại.</t>
        </is>
      </c>
      <c r="E17" s="8" t="inlineStr">
        <is>
          <t>(Giữ nguyên)</t>
        </is>
      </c>
      <c r="F17" s="8" t="inlineStr">
        <is>
          <t>(Giữ nguyên)</t>
        </is>
      </c>
      <c r="G17" s="8" t="inlineStr">
        <is>
          <t>(Giữ nguyên)</t>
        </is>
      </c>
      <c r="H17" s="8" t="inlineStr"/>
    </row>
    <row r="18">
      <c r="A18" s="7" t="inlineStr">
        <is>
          <t>Nhóm SP</t>
        </is>
      </c>
      <c r="B18" s="8" t="inlineStr">
        <is>
          <t>Tên nhóm sản phẩm của dòng — nhãn phân nhóm sản phẩm. Cột chiều (dimension), không phải số liệu.</t>
        </is>
      </c>
      <c r="C18" s="8" t="inlineStr">
        <is>
          <t>—</t>
        </is>
      </c>
      <c r="D18" s="8" t="inlineStr">
        <is>
          <t>Cột chiều (dimension). SP = sản phẩm.</t>
        </is>
      </c>
      <c r="E18" s="8" t="inlineStr">
        <is>
          <t>(Giữ nguyên)</t>
        </is>
      </c>
      <c r="F18" s="8" t="inlineStr">
        <is>
          <t>(Giữ nguyên)</t>
        </is>
      </c>
      <c r="G18" s="8" t="inlineStr">
        <is>
          <t>(Giữ nguyên)</t>
        </is>
      </c>
      <c r="H18" s="8" t="inlineStr"/>
    </row>
    <row r="19">
      <c r="A19" s="7" t="inlineStr">
        <is>
          <t>Mã hàng</t>
        </is>
      </c>
      <c r="B19" s="8" t="inlineStr">
        <is>
          <t>Mã vạch/Code sản phẩm của dòng — nhãn nhận diện sản phẩm. Cột chiều (dimension), không phải số liệu.</t>
        </is>
      </c>
      <c r="C19" s="8" t="inlineStr">
        <is>
          <t>—</t>
        </is>
      </c>
      <c r="D19" s="8" t="inlineStr">
        <is>
          <t>Cột chiều (dimension).</t>
        </is>
      </c>
      <c r="E19" s="8" t="inlineStr">
        <is>
          <t>(Giữ nguyên)</t>
        </is>
      </c>
      <c r="F19" s="8" t="inlineStr">
        <is>
          <t>(Giữ nguyên)</t>
        </is>
      </c>
      <c r="G19" s="8" t="inlineStr">
        <is>
          <t>(Giữ nguyên)</t>
        </is>
      </c>
      <c r="H19" s="8" t="inlineStr"/>
    </row>
    <row r="20">
      <c r="A20" s="7" t="inlineStr">
        <is>
          <t>Model name</t>
        </is>
      </c>
      <c r="B20" s="8" t="inlineStr">
        <is>
          <t>Tên model (dòng máy/cấp model) của sản phẩm — nhãn nhóm theo model. Cột chiều (dimension), không phải số liệu.</t>
        </is>
      </c>
      <c r="C20" s="8" t="inlineStr">
        <is>
          <t>—</t>
        </is>
      </c>
      <c r="D20" s="8" t="inlineStr">
        <is>
          <t>Cột chiều (dimension).</t>
        </is>
      </c>
      <c r="E20" s="8" t="inlineStr">
        <is>
          <t>(Giữ nguyên)</t>
        </is>
      </c>
      <c r="F20" s="8" t="inlineStr">
        <is>
          <t>(Giữ nguyên)</t>
        </is>
      </c>
      <c r="G20" s="8" t="inlineStr">
        <is>
          <t>(Giữ nguyên)</t>
        </is>
      </c>
      <c r="H20" s="8" t="inlineStr"/>
    </row>
    <row r="21">
      <c r="A21" s="7" t="inlineStr">
        <is>
          <t>Item Name (Tên sản phẩm)</t>
        </is>
      </c>
      <c r="B21" s="8" t="inlineStr">
        <is>
          <t>Tên đầy đủ của sản phẩm trên dòng — nhãn mô tả sản phẩm. Cột chiều (dimension), không phải số liệu.</t>
        </is>
      </c>
      <c r="C21" s="8" t="inlineStr">
        <is>
          <t>—</t>
        </is>
      </c>
      <c r="D21" s="8" t="inlineStr">
        <is>
          <t>Cột chiều (dimension).</t>
        </is>
      </c>
      <c r="E21" s="8" t="inlineStr">
        <is>
          <t>(Giữ nguyên)</t>
        </is>
      </c>
      <c r="F21" s="8" t="inlineStr">
        <is>
          <t>(Giữ nguyên)</t>
        </is>
      </c>
      <c r="G21" s="8" t="inlineStr">
        <is>
          <t>(Giữ nguyên)</t>
        </is>
      </c>
      <c r="H21" s="8" t="inlineStr"/>
    </row>
    <row r="22">
      <c r="A22" s="7" t="inlineStr">
        <is>
          <t>Đvt (Đơn vị tính)</t>
        </is>
      </c>
      <c r="B22" s="8" t="inlineStr">
        <is>
          <t>Đơn vị tính của sản phẩm trên dòng (ví dụ cái, bộ, thùng). Lấy đơn vị tính ghi trên sản phẩm, bỏ tiền tố 'per ' nếu có (ví dụ 'per cái' → 'cái'). Cột chiều (dimension), không phải số liệu.</t>
        </is>
      </c>
      <c r="C22" s="8" t="inlineStr">
        <is>
          <t>—</t>
        </is>
      </c>
      <c r="D22" s="8" t="inlineStr">
        <is>
          <t>Cột chiều (dimension). Đvt = đơn vị tính.</t>
        </is>
      </c>
      <c r="E22" s="8" t="inlineStr">
        <is>
          <t>(Giữ nguyên)</t>
        </is>
      </c>
      <c r="F22" s="8" t="inlineStr">
        <is>
          <t>(Giữ nguyên)</t>
        </is>
      </c>
      <c r="G22" s="8" t="inlineStr">
        <is>
          <t>(Giữ nguyên)</t>
        </is>
      </c>
      <c r="H22" s="8" t="inlineStr"/>
    </row>
    <row r="23">
      <c r="A23" s="7" t="inlineStr">
        <is>
          <t>Tên kho</t>
        </is>
      </c>
      <c r="B23" s="8" t="inlineStr">
        <is>
          <t>Tên kho hàng (địa điểm/kho xuất) của dòng giao dịch — nhãn kho. Cột chiều (dimension), không phải số liệu.</t>
        </is>
      </c>
      <c r="C23" s="8" t="inlineStr">
        <is>
          <t>—</t>
        </is>
      </c>
      <c r="D23" s="8" t="inlineStr">
        <is>
          <t>Cột chiều (dimension).</t>
        </is>
      </c>
      <c r="E23" s="8" t="inlineStr">
        <is>
          <t>(Giữ nguyên)</t>
        </is>
      </c>
      <c r="F23" s="8" t="inlineStr">
        <is>
          <t>(Giữ nguyên)</t>
        </is>
      </c>
      <c r="G23" s="8" t="inlineStr">
        <is>
          <t>(Giữ nguyên)</t>
        </is>
      </c>
      <c r="H23" s="8" t="inlineStr"/>
    </row>
    <row r="24">
      <c r="A24" s="7" t="inlineStr">
        <is>
          <t>Mã CKKM</t>
        </is>
      </c>
      <c r="B24" s="8" t="inlineStr">
        <is>
          <t>Mã chương trình chiết khấu khuyến mại (CKKM) gắn với dòng giao dịch — nhãn nhận diện chương trình khuyến mãi. Cột chiều (dimension), không phải số liệu.</t>
        </is>
      </c>
      <c r="C24" s="8" t="inlineStr">
        <is>
          <t>—</t>
        </is>
      </c>
      <c r="D24" s="8" t="inlineStr">
        <is>
          <t>Cột chiều (dimension). CKKM = chiết khấu khuyến mại.</t>
        </is>
      </c>
      <c r="E24" s="8" t="inlineStr">
        <is>
          <t>(Giữ nguyên)</t>
        </is>
      </c>
      <c r="F24" s="8" t="inlineStr">
        <is>
          <t>(Giữ nguyên)</t>
        </is>
      </c>
      <c r="G24" s="8" t="inlineStr">
        <is>
          <t>(Giữ nguyên)</t>
        </is>
      </c>
      <c r="H24" s="8" t="inlineStr"/>
    </row>
    <row r="25">
      <c r="A25" s="7" t="inlineStr">
        <is>
          <t>Tên CKKM</t>
        </is>
      </c>
      <c r="B25" s="8" t="inlineStr">
        <is>
          <t>Tên chương trình chiết khấu khuyến mại (CKKM) gắn với dòng — nhãn mô tả chương trình khuyến mãi. Cột chiều (dimension), không phải số liệu.</t>
        </is>
      </c>
      <c r="C25" s="8" t="inlineStr">
        <is>
          <t>—</t>
        </is>
      </c>
      <c r="D25" s="8" t="inlineStr">
        <is>
          <t>Cột chiều (dimension). CKKM = chiết khấu khuyến mại.</t>
        </is>
      </c>
      <c r="E25" s="8" t="inlineStr">
        <is>
          <t>(Giữ nguyên)</t>
        </is>
      </c>
      <c r="F25" s="8" t="inlineStr">
        <is>
          <t>(Giữ nguyên)</t>
        </is>
      </c>
      <c r="G25" s="8" t="inlineStr">
        <is>
          <t>(Giữ nguyên)</t>
        </is>
      </c>
      <c r="H25" s="8" t="inlineStr"/>
    </row>
    <row r="26">
      <c r="A26" s="7" t="inlineStr">
        <is>
          <t>Quy hoạch SP</t>
        </is>
      </c>
      <c r="B26" s="8" t="inlineStr">
        <is>
          <t>Nhãn quy hoạch sản phẩm (ví dụ 'SP mới' để nhận biết sản phẩm mới). Cột chiều (dimension), không phải số liệu.</t>
        </is>
      </c>
      <c r="C26" s="8" t="inlineStr">
        <is>
          <t>—</t>
        </is>
      </c>
      <c r="D26" s="8" t="inlineStr">
        <is>
          <t>Cột chiều (dimension). Giá trị 'SP mới' là cờ nhận biết sản phẩm mới.</t>
        </is>
      </c>
      <c r="E26" s="8" t="inlineStr">
        <is>
          <t>(Giữ nguyên)</t>
        </is>
      </c>
      <c r="F26" s="8" t="inlineStr">
        <is>
          <t>(Giữ nguyên)</t>
        </is>
      </c>
      <c r="G26" s="8" t="inlineStr">
        <is>
          <t>(Giữ nguyên)</t>
        </is>
      </c>
      <c r="H26" s="8" t="inlineStr"/>
    </row>
    <row r="27">
      <c r="A27" s="7" t="inlineStr">
        <is>
          <t>SL xuất bán</t>
        </is>
      </c>
      <c r="B27" s="8" t="inlineStr">
        <is>
          <t>Số lượng xuất bán của dòng. Nếu giao dịch là HÓA ĐƠN BÁN (Invoice) thì = − Số lượng gốc của dòng (đổi dấu để ra số dương cho hàng bán ra); nếu giao dịch là CHỨNG TỪ ĐIỀU CHỈNH GIẢM (Credit Memo / trả hàng) thì = 0 (số lượng trả lại thể hiện ở cột 'SL trả lại').</t>
        </is>
      </c>
      <c r="C27" s="8" t="inlineStr">
        <is>
          <t>Chỉ giao dịch đã hạch toán; chỉ tài khoản doanh thu; loại dòng chiết khấu (Discount); loại giao dịch công ty con/chi nhánh nội bộ.</t>
        </is>
      </c>
      <c r="D27" s="8" t="inlineStr">
        <is>
          <t>SL = số lượng. Chỉ tính phần bán ra (Invoice).</t>
        </is>
      </c>
      <c r="E27" s="8" t="inlineStr">
        <is>
          <t>(Giữ nguyên)</t>
        </is>
      </c>
      <c r="F27" s="8" t="inlineStr">
        <is>
          <t>(Giữ nguyên)</t>
        </is>
      </c>
      <c r="G27" s="8" t="inlineStr">
        <is>
          <t>(Giữ nguyên)</t>
        </is>
      </c>
      <c r="H27" s="8" t="inlineStr"/>
    </row>
    <row r="28">
      <c r="A28" s="7" t="inlineStr">
        <is>
          <t>Giá bán TB</t>
        </is>
      </c>
      <c r="B28" s="8" t="inlineStr">
        <is>
          <t>Giá bán bình quân/1 đơn vị của dòng (chỉ với hóa đơn bán). Nếu là HÓA ĐƠN BÁN (Invoice): = −(Doanh thu thực tế của dòng + phần chiết khấu của dòng) ÷ Số lượng gốc của dòng. Tức lấy doanh thu trước khi trừ chiết khấu (cộng lại khoản chiết khấu vào doanh thu thuần) rồi chia cho số lượng, đổi dấu để ra số dương. Nếu là chứng từ điều chỉnh giảm (Credit Memo) → = 0. Nếu Số lượng = 0 → để trống.</t>
        </is>
      </c>
      <c r="C28" s="8" t="inlineStr">
        <is>
          <t>Cùng phạm vi với SL xuất bán (đã hạch toán; tài khoản doanh thu; loại dòng chiết khấu; loại nội bộ).</t>
        </is>
      </c>
      <c r="D28" s="8" t="inlineStr">
        <is>
          <t>TB = trung bình. Là giá bán trước chiết khấu / 1 đơn vị (gồm cả khoản chiết khấu cộng lại). Phần chiết khấu = khoản giảm trừ gắn trên dòng (nếu không có → 0).</t>
        </is>
      </c>
      <c r="E28" s="8" t="inlineStr">
        <is>
          <t>Giá bán bình quân trên 1 đơn vị của hàng xuất bán (chỉ áp dụng cho hóa đơn bán). Cách tính: lấy doanh thu trước chiết khấu của dòng = Doanh thu thực tế của dòng + phần chiết khấu của dòng (cộng lại khoản chiết khấu), chia cho |Số lượng| (trị tuyệt đối số lượng của dòng), rồi đổi dấu MỘT lần khi hiển thị để ra số dương. Tức: Giá bán TB = (Doanh thu thực tế của dòng + chiết khấu của dòng) ÷ |Số lượng|, hiển thị dương. Nếu là chứng từ điều chỉnh giảm (Credit Memo) → = 0. Nếu |Số lượng| = 0 → để trống.</t>
        </is>
      </c>
      <c r="F28" s="8" t="inlineStr">
        <is>
          <t>Cùng phạm vi với SL xuất bán: chỉ giao dịch đã hạch toán; chỉ tài khoản doanh thu; loại dòng chiết khấu (Discount); loại giao dịch kênh nội bộ.</t>
        </is>
      </c>
      <c r="G28" s="8" t="inlineStr">
        <is>
          <t>TB = trung bình. Là giá bán trước chiết khấu trên 1 đơn vị (đã cộng lại khoản chiết khấu vào doanh thu). Mẫu số là |Số lượng| (trị tuyệt đối), thống nhất với cách dùng số lượng ở các cột giá vốn. Việc đổi dấu chỉ thực hiện 1 LẦN ở bước hiển thị (giá trị gốc của dòng bán mang dấu âm) để tránh hiểu nhầm là đổi dấu hai lần.</t>
        </is>
      </c>
      <c r="H28" s="8" t="inlineStr"/>
    </row>
    <row r="29">
      <c r="A29" s="7" t="inlineStr">
        <is>
          <t>Doanh thu xuất bán</t>
        </is>
      </c>
      <c r="B29" s="8" t="inlineStr">
        <is>
          <t>Doanh thu (chưa VAT) của hàng xuất bán trên dòng. Nếu là HÓA ĐƠN BÁN (Invoice): = Doanh thu thực tế của dòng + phần chiết khấu của dòng (tức doanh thu trước khi trừ chiết khấu). Nếu là chứng từ điều chỉnh giảm (Credit Memo) → = 0.</t>
        </is>
      </c>
      <c r="C29" s="8" t="inlineStr">
        <is>
          <t>Cùng phạm vi với SL xuất bán (đã hạch toán; tài khoản doanh thu; loại dòng chiết khấu; loại nội bộ).</t>
        </is>
      </c>
      <c r="D29" s="8" t="inlineStr">
        <is>
          <t>Là doanh thu GỘP trước chiết khấu của phần bán ra (chưa VAT). Trừ đi 'Chiết khấu' sẽ ra phần thực bán.</t>
        </is>
      </c>
      <c r="E29" s="8" t="inlineStr">
        <is>
          <t>(Giữ nguyên)</t>
        </is>
      </c>
      <c r="F29" s="8" t="inlineStr">
        <is>
          <t>(Giữ nguyên)</t>
        </is>
      </c>
      <c r="G29" s="8" t="inlineStr">
        <is>
          <t>(Giữ nguyên)</t>
        </is>
      </c>
      <c r="H29" s="8" t="inlineStr"/>
    </row>
    <row r="30">
      <c r="A30" s="7" t="inlineStr">
        <is>
          <t>Thuế (thuế GTGT bán)</t>
        </is>
      </c>
      <c r="B30" s="8" t="inlineStr">
        <is>
          <t>Tiền thuế GTGT của hàng xuất bán. Nếu là HÓA ĐƠN BÁN (Invoice): = − tiền thuế GTGT của dòng (đổi dấu để ra số dương). Nếu là chứng từ điều chỉnh giảm (Credit Memo) → = 0. Tiền thuế GTGT của dòng gồm thuế trên doanh thu + thuế trên phần chiết khấu (theo thuế suất của dòng).</t>
        </is>
      </c>
      <c r="C30" s="8" t="inlineStr">
        <is>
          <t>Cùng phạm vi với SL xuất bán.</t>
        </is>
      </c>
      <c r="D30" s="8" t="inlineStr">
        <is>
          <t>Thuế GTGT đầu ra của phần bán ra. VAT = thuế giá trị gia tăng.</t>
        </is>
      </c>
      <c r="E30" s="8" t="inlineStr">
        <is>
          <t>(Giữ nguyên)</t>
        </is>
      </c>
      <c r="F30" s="8" t="inlineStr">
        <is>
          <t>(Giữ nguyên)</t>
        </is>
      </c>
      <c r="G30" s="8" t="inlineStr">
        <is>
          <t>(Giữ nguyên)</t>
        </is>
      </c>
      <c r="H30" s="8" t="inlineStr"/>
    </row>
    <row r="31">
      <c r="A31" s="7" t="inlineStr">
        <is>
          <t>SL trả lại</t>
        </is>
      </c>
      <c r="B31" s="8" t="inlineStr">
        <is>
          <t>Số lượng trả lại của dòng. Nếu giao dịch là CHỨNG TỪ ĐIỀU CHỈNH GIẢM (Credit Memo / trả hàng) thì = Số lượng gốc của dòng; nếu là hóa đơn bán (Invoice) thì = 0.</t>
        </is>
      </c>
      <c r="C31" s="8" t="inlineStr">
        <is>
          <t>Cùng phạm vi với SL xuất bán; chỉ phần Credit Memo.</t>
        </is>
      </c>
      <c r="D31" s="8" t="inlineStr">
        <is>
          <t>SL = số lượng. Chỉ tính phần hàng trả lại (Credit Memo).</t>
        </is>
      </c>
      <c r="E31" s="8" t="inlineStr">
        <is>
          <t>(Giữ nguyên)</t>
        </is>
      </c>
      <c r="F31" s="8" t="inlineStr">
        <is>
          <t>(Giữ nguyên)</t>
        </is>
      </c>
      <c r="G31" s="8" t="inlineStr">
        <is>
          <t>(Giữ nguyên)</t>
        </is>
      </c>
      <c r="H31" s="8" t="inlineStr"/>
    </row>
    <row r="32">
      <c r="A32" s="7" t="inlineStr">
        <is>
          <t>Giá trả lại TB</t>
        </is>
      </c>
      <c r="B32" s="8" t="inlineStr">
        <is>
          <t>Giá trả lại bình quân/1 đơn vị (chỉ với chứng từ điều chỉnh giảm). Nếu là CHỨNG TỪ ĐIỀU CHỈNH GIẢM (Credit Memo): = −(Doanh thu thực tế của dòng + phần chiết khấu của dòng) ÷ Số lượng gốc của dòng (đổi dấu). Nếu là hóa đơn bán → = 0. Nếu Số lượng = 0 → để trống.</t>
        </is>
      </c>
      <c r="C32" s="8" t="inlineStr">
        <is>
          <t>Cùng phạm vi với SL xuất bán; chỉ phần Credit Memo.</t>
        </is>
      </c>
      <c r="D32" s="8" t="inlineStr">
        <is>
          <t>TB = trung bình. Giá trả lại trước chiết khấu / 1 đơn vị.</t>
        </is>
      </c>
      <c r="E32" s="8" t="inlineStr">
        <is>
          <t>Giá trả lại bình quân trên 1 đơn vị (chỉ áp dụng cho chứng từ điều chỉnh giảm). Cách tính: lấy doanh thu trước chiết khấu của dòng = Doanh thu thực tế của dòng + phần chiết khấu của dòng, chia cho |Số lượng| (trị tuyệt đối số lượng của dòng), rồi đổi dấu MỘT lần khi hiển thị để ra số dương. Tức: Giá trả lại TB = (Doanh thu thực tế của dòng + chiết khấu của dòng) ÷ |Số lượng|, hiển thị dương. Nếu là hóa đơn bán (Invoice) → = 0. Nếu |Số lượng| = 0 → để trống.</t>
        </is>
      </c>
      <c r="F32" s="8" t="inlineStr">
        <is>
          <t>Cùng phạm vi với SL xuất bán; chỉ phần Credit Memo (chỉ giao dịch đã hạch toán; chỉ tài khoản doanh thu; loại dòng chiết khấu (Discount); loại giao dịch kênh nội bộ).</t>
        </is>
      </c>
      <c r="G32" s="8" t="inlineStr">
        <is>
          <t>TB = trung bình. Giá trả lại trước chiết khấu trên 1 đơn vị. Mẫu số là |Số lượng| (trị tuyệt đối) — thống nhất với Giá bán TB; bổ sung quy ước |Số lượng| = 0 → để trống. Việc đổi dấu chỉ thực hiện 1 LẦN ở bước hiển thị (giá trị gốc của dòng trả lại đã mang dấu) nên giá trả lại TB hiển thị ra số dương.</t>
        </is>
      </c>
      <c r="H32" s="8" t="inlineStr"/>
    </row>
    <row r="33">
      <c r="A33" s="7" t="inlineStr">
        <is>
          <t>Doanh thu trả lại</t>
        </is>
      </c>
      <c r="B33" s="8" t="inlineStr">
        <is>
          <t>Doanh thu (chưa VAT) của hàng trả lại. Nếu là CHỨNG TỪ ĐIỀU CHỈNH GIẢM (Credit Memo): = −(Doanh thu thực tế của dòng + phần chiết khấu của dòng) (tức trị âm của doanh thu gộp trước chiết khấu, thể hiện khoản giảm doanh thu do trả hàng). Nếu là hóa đơn bán → = 0.</t>
        </is>
      </c>
      <c r="C33" s="8" t="inlineStr">
        <is>
          <t>Cùng phạm vi với SL xuất bán; chỉ phần Credit Memo.</t>
        </is>
      </c>
      <c r="D33" s="8" t="inlineStr">
        <is>
          <t>Là doanh thu trả lại (giảm doanh thu), mang dấu âm. Chưa VAT.</t>
        </is>
      </c>
      <c r="E33" s="8" t="inlineStr">
        <is>
          <t>(Giữ nguyên)</t>
        </is>
      </c>
      <c r="F33" s="8" t="inlineStr">
        <is>
          <t>(Giữ nguyên)</t>
        </is>
      </c>
      <c r="G33" s="8" t="inlineStr">
        <is>
          <t>(Giữ nguyên)</t>
        </is>
      </c>
      <c r="H33" s="8" t="inlineStr"/>
    </row>
    <row r="34">
      <c r="A34" s="7" t="inlineStr">
        <is>
          <t>Thuế trả lại</t>
        </is>
      </c>
      <c r="B34" s="8" t="inlineStr">
        <is>
          <t>Tiền thuế GTGT của hàng trả lại. Nếu là CHỨNG TỪ ĐIỀU CHỈNH GIẢM (Credit Memo): = tiền thuế GTGT của dòng. Nếu là hóa đơn bán → = 0.</t>
        </is>
      </c>
      <c r="C34" s="8" t="inlineStr">
        <is>
          <t>Cùng phạm vi với SL xuất bán; chỉ phần Credit Memo.</t>
        </is>
      </c>
      <c r="D34" s="8" t="inlineStr">
        <is>
          <t>Thuế GTGT của phần trả lại. VAT = thuế giá trị gia tăng.</t>
        </is>
      </c>
      <c r="E34" s="8" t="inlineStr">
        <is>
          <t>Tiền thuế GTGT của hàng trả lại. Nếu là chứng từ điều chỉnh giảm (Credit Memo): = tiền thuế GTGT của dòng, mang dấu ÂM (giảm thuế, đồng bộ dấu với Doanh thu trả lại và Chiết khấu trả lại cũng mang dấu âm). Nếu là hóa đơn bán (Invoice) → = 0. Tiền thuế GTGT của dòng gồm thuế trên doanh thu + thuế trên phần chiết khấu (theo thuế suất của dòng), tương ứng với phần thuế xuất bán nhưng mang dấu ngược.</t>
        </is>
      </c>
      <c r="F34" s="8" t="inlineStr">
        <is>
          <t>Cùng phạm vi với SL xuất bán; chỉ phần Credit Memo.</t>
        </is>
      </c>
      <c r="G34" s="8" t="inlineStr">
        <is>
          <t>Thuế GTGT của phần trả lại, mang dấu âm để nhất quán với cụm trả lại (Doanh thu trả lại / Chiết khấu trả lại đều âm). Nhờ vậy ô Doanh số thực tế (= Doanh thu thực tế + thuế GTGT, hợp nhất dấu) nhận đúng phần đóng góp dấu − từ dòng Credit Memo. VAT = thuế giá trị gia tăng.</t>
        </is>
      </c>
      <c r="H34" s="8" t="inlineStr"/>
    </row>
    <row r="35">
      <c r="A35" s="7" t="inlineStr">
        <is>
          <t>Chiết khấu trả lại</t>
        </is>
      </c>
      <c r="B35" s="8" t="inlineStr">
        <is>
          <t>Khoản chiết khấu của hàng trả lại. Nếu là CHỨNG TỪ ĐIỀU CHỈNH GIẢM (Credit Memo): = − phần chiết khấu của dòng (nếu không có chiết khấu → 0). Nếu là hóa đơn bán → = 0.</t>
        </is>
      </c>
      <c r="C35" s="8" t="inlineStr">
        <is>
          <t>Cùng phạm vi với SL xuất bán; chỉ phần Credit Memo.</t>
        </is>
      </c>
      <c r="D35" s="8" t="inlineStr">
        <is>
          <t>Khoản chiết khấu gắn với dòng trả lại; mang dấu âm.</t>
        </is>
      </c>
      <c r="E35" s="8" t="inlineStr">
        <is>
          <t>(Giữ nguyên)</t>
        </is>
      </c>
      <c r="F35" s="8" t="inlineStr">
        <is>
          <t>(Giữ nguyên)</t>
        </is>
      </c>
      <c r="G35" s="8" t="inlineStr">
        <is>
          <t>(Giữ nguyên)</t>
        </is>
      </c>
      <c r="H35" s="8" t="inlineStr"/>
    </row>
    <row r="36">
      <c r="A36" s="7" t="inlineStr">
        <is>
          <t>Chiết khấu</t>
        </is>
      </c>
      <c r="B36" s="8" t="inlineStr">
        <is>
          <t>Khoản chiết khấu (giảm trừ) của hàng xuất bán. Nếu là HÓA ĐƠN BÁN (Invoice): = phần chiết khấu của dòng (khoản giảm trừ gắn với dòng; nếu không có → 0). Nếu là chứng từ điều chỉnh giảm (Credit Memo) → = 0.</t>
        </is>
      </c>
      <c r="C36" s="8" t="inlineStr">
        <is>
          <t>Cùng phạm vi với SL xuất bán; chỉ phần Invoice.</t>
        </is>
      </c>
      <c r="D36" s="8" t="inlineStr">
        <is>
          <t>Khoản chiết khấu trên dòng bán ra (chưa VAT). Trừ vào Doanh thu xuất bán để ra phần thực bán.</t>
        </is>
      </c>
      <c r="E36" s="8" t="inlineStr">
        <is>
          <t>(Giữ nguyên)</t>
        </is>
      </c>
      <c r="F36" s="8" t="inlineStr">
        <is>
          <t>(Giữ nguyên)</t>
        </is>
      </c>
      <c r="G36" s="8" t="inlineStr">
        <is>
          <t>(Giữ nguyên)</t>
        </is>
      </c>
      <c r="H36" s="8" t="inlineStr"/>
    </row>
    <row r="37">
      <c r="A37" s="7" t="inlineStr">
        <is>
          <t>Thực bán</t>
        </is>
      </c>
      <c r="B37" s="8" t="inlineStr">
        <is>
          <t>Doanh thu thực bán thuần của dòng = (Doanh thu xuất bán − Chiết khấu) − (Doanh thu trả lại − Chiết khấu trả lại). Tức doanh thu bán ra sau chiết khấu, trừ đi doanh thu trả lại sau chiết khấu trả lại. Mỗi thành phần thiếu thì coi = 0.</t>
        </is>
      </c>
      <c r="C37" s="8" t="inlineStr">
        <is>
          <t>Cùng phạm vi với SL xuất bán.</t>
        </is>
      </c>
      <c r="D37" s="8" t="inlineStr">
        <is>
          <t>Doanh thu thuần thực bán (sau chiết khấu, sau trả hàng); chưa VAT.</t>
        </is>
      </c>
      <c r="E37" s="8" t="inlineStr">
        <is>
          <t>Doanh thu thực bán thuần của dòng (chưa VAT) = doanh thu bán sau chiết khấu CỘNG doanh thu trả lại sau chiết khấu trả lại (phần trả lại đã mang sẵn dấu âm nên là phép cộng). Viết tường minh theo dấu sẵn có của các cột: Thực bán = (Doanh thu xuất bán − Chiết khấu) + (Doanh thu trả lại − Chiết khấu trả lại). Trong đó Doanh thu trả lại và Chiết khấu trả lại đã MANG DẤU ÂM (theo định nghĩa 2 cột đó) nên cụm thứ hai đóng góp giá trị âm, làm GIẢM thực bán. Mỗi thành phần thiếu thì coi = 0. Ví dụ: dòng bán doanh thu 100, chiết khấu 10 → phần bán = 90; dòng trả lại doanh thu −30, chiết khấu trả lại −5 → phần trả = (−30) − (−5) = −25; Thực bán = 90 + (−25) = 65.</t>
        </is>
      </c>
      <c r="F37" s="8" t="inlineStr">
        <is>
          <t>Cùng phạm vi với SL xuất bán.</t>
        </is>
      </c>
      <c r="G37" s="8" t="inlineStr">
        <is>
          <t>Doanh thu thuần thực bán (sau chiết khấu, sau trả hàng); chưa VAT. Quy ước dấu cho TOÀN cụm trả lại: Doanh thu trả lại, Chiết khấu trả lại, Thuế trả lại đều mang dấu ÂM; công thức dùng GIÁ TRỊ ĐÃ CÓ DẤU của các cột (không dùng trị tuyệt đối). Lưu ý phân biệt: cột Thực bán này đã trừ phần trả lại, còn tỷ lệ %TB/DT lấy tử số là Thực bán nhưng mẫu số là Doanh thu xuất bán (chỉ phần bán ra) — xem ghi chú ở %TB/DT.</t>
        </is>
      </c>
      <c r="H37" s="8" t="inlineStr"/>
    </row>
    <row r="38">
      <c r="A38" s="7" t="inlineStr">
        <is>
          <t>Tiền vốn (giá vốn bán ra)</t>
        </is>
      </c>
      <c r="B38" s="8" t="inlineStr">
        <is>
          <t>Tiền vốn (giá vốn) của hàng xuất bán. Nếu là HÓA ĐƠN BÁN (Invoice): = Giá vốn của dòng. Nếu là chứng từ điều chỉnh giảm (Credit Memo) → = 0. Giá vốn của dòng tính theo 3 lớp ưu tiên: (1) 'Giá vốn mục tiêu' tra theo mã sản phẩm (MSP) + tháng; (2) 'Giá vốn tồn kho' tra theo mã item + đơn vị (pháp nhân) + kỳ; (3) nếu không có → 50% doanh thu thực tế của dòng — nhân với |số lượng|.</t>
        </is>
      </c>
      <c r="C38" s="8" t="inlineStr">
        <is>
          <t>Cùng phạm vi với SL xuất bán; chỉ phần Invoice.</t>
        </is>
      </c>
      <c r="D38" s="8" t="inlineStr">
        <is>
          <t>Giá vốn 3 lớp (mục tiêu → tồn kho → 50% doanh thu). Là giá vốn của phần bán ra.</t>
        </is>
      </c>
      <c r="E38" s="8" t="inlineStr">
        <is>
          <t>Tiền vốn (giá vốn) của hàng xuất bán. Nếu là hóa đơn bán (Invoice): = Giá vốn của dòng. Nếu là chứng từ điều chỉnh giảm (Credit Memo) → = 0. Giá vốn của dòng tính theo 3 lớp ưu tiên: (1) nếu có Giá vốn mục tiêu (đơn giá vốn kế hoạch, tra theo mã sản phẩm (MSP) + tháng) → Tiền vốn = đơn giá đó × |Số lượng|; (2) nếu không có → dùng Giá vốn tồn kho (đơn giá vốn bình quân tồn kho, tra theo mã item + đơn vị/pháp nhân + kỳ) → Tiền vốn = đơn giá đó × |Số lượng|; (3) nếu vẫn không có → Tiền vốn = 50% Doanh thu thực tế của dòng (KHÔNG nhân |Số lượng| lần nữa, vì Doanh thu thực tế đã là tổng tiền của cả dòng). Hai lớp đầu là đơn giá nên phải nhân |Số lượng|; riêng lớp 3 lấy thẳng 50% doanh thu của dòng.</t>
        </is>
      </c>
      <c r="F38" s="8" t="inlineStr">
        <is>
          <t>Cùng phạm vi với SL xuất bán; chỉ phần Invoice.</t>
        </is>
      </c>
      <c r="G38" s="8" t="inlineStr">
        <is>
          <t>Giá vốn 3 lớp (mục tiêu → tồn kho → 50% doanh thu). Đồng bộ với cột Unit Cost: ở lớp 1/lớp 2, Unit Cost = đơn giá vốn và Tiền vốn = Unit Cost × |Số lượng|; ở lớp 3, Unit Cost = (Doanh thu thực tế ÷ 2) ÷ |Số lượng| nên Unit Cost × |Số lượng| = 50% Doanh thu thực tế = đúng Tiền vốn lớp 3. Lưu ý quan trọng: lớp 3 KHÔNG nhân |Số lượng| thêm lần nữa (tránh phóng đại theo số lượng).</t>
        </is>
      </c>
      <c r="H38" s="8" t="inlineStr"/>
    </row>
    <row r="39">
      <c r="A39" s="7" t="inlineStr">
        <is>
          <t>Unit Cost (Đơn giá vốn)</t>
        </is>
      </c>
      <c r="B39" s="8" t="inlineStr">
        <is>
          <t>Đơn giá vốn/1 đơn vị sản phẩm của dòng, lấy theo 3 lớp ưu tiên: (1) 'Giá vốn mục tiêu' tra theo mã sản phẩm (MSP) + tháng (nếu có, khác 0); (2) nếu không có → 'Giá vốn tồn kho' tra theo mã item + đơn vị (pháp nhân) + kỳ (nếu có, khác 0); (3) nếu vẫn không có → = (Doanh thu thực tế của dòng ÷ 2) ÷ |Số lượng|. Khi nhiều dòng gộp lại, hiển thị mức LỚN NHẤT (MAX) trong nhóm.</t>
        </is>
      </c>
      <c r="C39" s="8" t="inlineStr">
        <is>
          <t>Bảng giá vốn mục tiêu/tồn kho chỉ lấy bản ghi còn hiệu lực.</t>
        </is>
      </c>
      <c r="D39" s="8" t="inlineStr">
        <is>
          <t>Đơn giá vốn / 1 đơn vị (chưa nhân số lượng). 'Giá vốn mục tiêu' = đơn giá vốn kế hoạch; 'Giá vốn tồn kho' = đơn giá vốn bình quân tồn kho theo kỳ.</t>
        </is>
      </c>
      <c r="E39" s="8" t="inlineStr">
        <is>
          <t>Đơn giá vốn trên 1 đơn vị sản phẩm của dòng, lấy theo 3 lớp ưu tiên: (1) Giá vốn mục tiêu (đơn giá vốn kế hoạch) tra theo mã sản phẩm (MSP) + tháng, nếu có và khác 0; (2) nếu không có → Giá vốn tồn kho (đơn giá vốn bình quân tồn kho) tra theo mã item + đơn vị/pháp nhân + kỳ, nếu có và khác 0; (3) nếu vẫn không có → = (Doanh thu thực tế của dòng ÷ 2) ÷ |Số lượng|. Ở cấp dòng chi tiết: Unit Cost = Tiền vốn ÷ |Số lượng| (tức Tiền vốn = Unit Cost × |Số lượng|). Khi nhiều dòng được GỘP lại, ô hiển thị mức LỚN NHẤT (MAX) của đơn giá vốn trong nhóm.</t>
        </is>
      </c>
      <c r="F39" s="8" t="inlineStr">
        <is>
          <t>Bảng Giá vốn mục tiêu / Giá vốn tồn kho chỉ lấy bản ghi còn hiệu lực.</t>
        </is>
      </c>
      <c r="G39" s="8" t="inlineStr">
        <is>
          <t>Đơn giá vốn trên 1 đơn vị (chưa nhân số lượng). Giá vốn mục tiêu = đơn giá vốn kế hoạch; Giá vốn tồn kho = đơn giá vốn bình quân tồn kho theo kỳ. Lưu ý: ở mức GỘP, Unit Cost = MAX là số KHÔNG cộng dồn (non-additive) — chỉ mang tính tham khảo, KHÔNG dùng để suy ngược Tiền vốn (Unit Cost gộp × tổng |Số lượng| sẽ không bằng Tiền vốn gộp). Quan hệ Unit Cost = Tiền vốn ÷ |Số lượng| chỉ đúng ở từng dòng chi tiết.</t>
        </is>
      </c>
      <c r="H39" s="8" t="inlineStr"/>
    </row>
    <row r="40">
      <c r="A40" s="7" t="inlineStr">
        <is>
          <t>Tiền vốn tl (giá vốn trả lại)</t>
        </is>
      </c>
      <c r="B40" s="8" t="inlineStr">
        <is>
          <t>Tiền vốn (giá vốn) của hàng trả lại. Nếu là CHỨNG TỪ ĐIỀU CHỈNH GIẢM (Credit Memo): = Giá vốn của dòng (tính theo 3 lớp ưu tiên như Tiền vốn). Nếu là hóa đơn bán → = 0.</t>
        </is>
      </c>
      <c r="C40" s="8" t="inlineStr">
        <is>
          <t>Cùng phạm vi với SL xuất bán; chỉ phần Credit Memo.</t>
        </is>
      </c>
      <c r="D40" s="8" t="inlineStr">
        <is>
          <t>tl = trả lại. Giá vốn của phần hàng trả lại.</t>
        </is>
      </c>
      <c r="E40" s="8" t="inlineStr">
        <is>
          <t>(Giữ nguyên)</t>
        </is>
      </c>
      <c r="F40" s="8" t="inlineStr">
        <is>
          <t>(Giữ nguyên)</t>
        </is>
      </c>
      <c r="G40" s="8" t="inlineStr">
        <is>
          <t>(Giữ nguyên)</t>
        </is>
      </c>
      <c r="H40" s="8" t="inlineStr"/>
    </row>
    <row r="41">
      <c r="A41" s="7" t="inlineStr">
        <is>
          <t>Tiền vốn thực tế</t>
        </is>
      </c>
      <c r="B41" s="8" t="inlineStr">
        <is>
          <t>Tiền vốn thực tế của dòng = Tiền vốn (giá vốn bán ra) − Tiền vốn tl (giá vốn trả lại). Mỗi thành phần thiếu thì coi = 0. Tức giá vốn của hàng bán ra sau khi trừ giá vốn của hàng đã trả lại.</t>
        </is>
      </c>
      <c r="C41" s="8" t="inlineStr">
        <is>
          <t>Cùng phạm vi với SL xuất bán.</t>
        </is>
      </c>
      <c r="D41" s="8" t="inlineStr">
        <is>
          <t>Giá vốn ròng (sau khi đã trừ phần trả lại).</t>
        </is>
      </c>
      <c r="E41" s="8" t="inlineStr">
        <is>
          <t>(Giữ nguyên)</t>
        </is>
      </c>
      <c r="F41" s="8" t="inlineStr">
        <is>
          <t>(Giữ nguyên)</t>
        </is>
      </c>
      <c r="G41" s="8" t="inlineStr">
        <is>
          <t>(Giữ nguyên)</t>
        </is>
      </c>
      <c r="H41" s="8" t="inlineStr"/>
    </row>
    <row r="42">
      <c r="A42" s="7" t="inlineStr">
        <is>
          <t>Lãi</t>
        </is>
      </c>
      <c r="B42" s="8" t="inlineStr">
        <is>
          <t>Lãi của dòng = Thực bán − Tiền vốn thực tế = Thực bán − (Tiền vốn − Tiền vốn tl). Tức doanh thu thực bán thuần trừ giá vốn ròng. Mỗi thành phần thiếu thì coi = 0.</t>
        </is>
      </c>
      <c r="C42" s="8" t="inlineStr">
        <is>
          <t>Cùng phạm vi với SL xuất bán.</t>
        </is>
      </c>
      <c r="D42" s="8" t="inlineStr">
        <is>
          <t>Lãi gộp cấp dòng giao dịch (sau chiết khấu, sau trả hàng), chưa tính chi phí khuyến mại/quản lý.</t>
        </is>
      </c>
      <c r="E42" s="8" t="inlineStr">
        <is>
          <t>(Giữ nguyên)</t>
        </is>
      </c>
      <c r="F42" s="8" t="inlineStr">
        <is>
          <t>(Giữ nguyên)</t>
        </is>
      </c>
      <c r="G42" s="8" t="inlineStr">
        <is>
          <t>(Giữ nguyên)</t>
        </is>
      </c>
      <c r="H42" s="8" t="inlineStr"/>
    </row>
    <row r="43">
      <c r="A43" s="7" t="inlineStr">
        <is>
          <t>%TB/DT (Thực bán / Doanh thu)</t>
        </is>
      </c>
      <c r="B43" s="8" t="inlineStr">
        <is>
          <t>Tỷ lệ thực bán trên doanh thu xuất bán = Thực bán ÷ Doanh thu xuất bán, ra %. Chỉ tính khi Thực bán &gt; 0; nếu Thực bán ≤ 0 → = 0.</t>
        </is>
      </c>
      <c r="C43" s="8" t="inlineStr">
        <is>
          <t>Cùng phạm vi với SL xuất bán.</t>
        </is>
      </c>
      <c r="D43" s="8" t="inlineStr">
        <is>
          <t>TB = thực bán; DT = doanh thu (xuất bán). Cho biết sau chiết khấu/trả hàng còn giữ lại bao nhiêu % doanh thu bán ra.</t>
        </is>
      </c>
      <c r="E43" s="8" t="inlineStr">
        <is>
          <t>Tỷ lệ thực bán trên doanh thu xuất bán = Thực bán ÷ Doanh thu xuất bán, ra %. Guard theo MẪU SỐ: nếu Doanh thu xuất bán ≤ 0 → kết quả = 0 (tránh chia cho 0). Lưu ý tử số và mẫu số khác phạm vi: tử số Thực bán đã trừ phần trả lại, còn mẫu số Doanh thu xuất bán chỉ là phần bán ra (Invoice, trước chiết khấu) — nên ở dòng/nhóm vừa có bán vừa có trả, tỷ lệ có thể nằm ngoài [0, 100%].</t>
        </is>
      </c>
      <c r="F43" s="8" t="inlineStr">
        <is>
          <t>Cùng phạm vi với SL xuất bán.</t>
        </is>
      </c>
      <c r="G43" s="8" t="inlineStr">
        <is>
          <t>TB = thực bán; DT = doanh thu (xuất bán). Guard đặt ở MẪU SỐ (Doanh thu xuất bán = 0 → kết quả = 0), KHÔNG đặt ở tử số (Thực bán). Cho biết sau chiết khấu/trả hàng còn giữ lại bao nhiêu % doanh thu bán ra.</t>
        </is>
      </c>
      <c r="H43" s="8" t="inlineStr"/>
    </row>
    <row r="44">
      <c r="A44" s="7" t="inlineStr">
        <is>
          <t>%GV/DT (Giá vốn / Doanh thu)</t>
        </is>
      </c>
      <c r="B44" s="8" t="inlineStr">
        <is>
          <t>Tỷ lệ giá vốn trên doanh thu xuất bán = Tiền vốn (giá vốn bán ra) ÷ Doanh thu xuất bán, ra %. Chỉ tính khi Tiền vốn &gt; 0; nếu Tiền vốn ≤ 0 → = 0.</t>
        </is>
      </c>
      <c r="C44" s="8" t="inlineStr">
        <is>
          <t>Cùng phạm vi với SL xuất bán.</t>
        </is>
      </c>
      <c r="D44" s="8" t="inlineStr">
        <is>
          <t>GV = giá vốn; DT = doanh thu (xuất bán). Cho biết giá vốn chiếm bao nhiêu % doanh thu bán ra.</t>
        </is>
      </c>
      <c r="E44" s="8" t="inlineStr">
        <is>
          <t>Tỷ lệ giá vốn trên doanh thu xuất bán = Tiền vốn (giá vốn bán ra) ÷ Doanh thu xuất bán, ra %. Guard theo MẪU SỐ: nếu Doanh thu xuất bán ≤ 0 → kết quả = 0 (tránh chia cho 0). Tiền vốn ở tử số tính theo 3 lớp đã nêu ở cột Tiền vốn (lớp 3 = 50% Doanh thu thực tế của dòng, KHÔNG nhân |Số lượng|).</t>
        </is>
      </c>
      <c r="F44" s="8" t="inlineStr">
        <is>
          <t>Cùng phạm vi với SL xuất bán.</t>
        </is>
      </c>
      <c r="G44" s="8" t="inlineStr">
        <is>
          <t>GV = giá vốn; DT = doanh thu (xuất bán). Guard đặt ở MẪU SỐ (Doanh thu xuất bán = 0 → kết quả = 0), KHÔNG đặt ở tử số (Tiền vốn). Cho biết giá vốn chiếm bao nhiêu % doanh thu bán ra; phụ thuộc Tiền vốn được tính đúng (đặc biệt lớp 3 không nhân |Số lượng|).</t>
        </is>
      </c>
      <c r="H44" s="8" t="inlineStr"/>
    </row>
    <row r="45">
      <c r="A45" s="5" t="inlineStr">
        <is>
          <t>Biểu đồ MIS</t>
        </is>
      </c>
    </row>
    <row r="46" ht="28" customHeight="1">
      <c r="A46" s="6" t="inlineStr">
        <is>
          <t>Cột / Chỉ tiêu</t>
        </is>
      </c>
      <c r="B46" s="6" t="inlineStr">
        <is>
          <t>Cách tính (logic nghiệp vụ)</t>
        </is>
      </c>
      <c r="C46" s="6" t="inlineStr">
        <is>
          <t>Loại trừ / Bộ lọc</t>
        </is>
      </c>
      <c r="D46" s="6" t="inlineStr">
        <is>
          <t>Ghi chú</t>
        </is>
      </c>
      <c r="E46" s="6" t="inlineStr">
        <is>
          <t>Cách tính (QA)</t>
        </is>
      </c>
      <c r="F46" s="6" t="inlineStr">
        <is>
          <t>Loại trừ-Bộ lọc (QA)</t>
        </is>
      </c>
      <c r="G46" s="6" t="inlineStr">
        <is>
          <t>Ghi chú (QA)</t>
        </is>
      </c>
      <c r="H46" s="6" t="inlineStr">
        <is>
          <t>KGR xác nhận</t>
        </is>
      </c>
    </row>
    <row r="47">
      <c r="A47" s="7" t="inlineStr">
        <is>
          <t>Doanh số thực tế (ô chỉ số)</t>
        </is>
      </c>
      <c r="B47" s="8" t="inlineStr">
        <is>
          <t>Ô chỉ số (KPI tile) hiển thị TỔNG Doanh số thực tế (đã gồm thuế GTGT) của các dòng đang lọc trên canvas MIS. Mỗi dòng: Doanh số thực tế = Doanh thu thực tế + tiền thuế GTGT của dòng (hợp nhất hóa đơn bán dấu +, chứng từ điều chỉnh giảm dấu −); ô chỉ số cộng tổng các dòng.</t>
        </is>
      </c>
      <c r="C47" s="8" t="inlineStr">
        <is>
          <t>Chỉ giao dịch đã hạch toán; chỉ tài khoản doanh thu và thuế GTGT đầu ra; loại dòng chiết khấu (Discount); loại giao dịch công ty con/chi nhánh nội bộ.</t>
        </is>
      </c>
      <c r="D47" s="8" t="inlineStr">
        <is>
          <t>Doanh số = doanh thu gồm VAT. Là tổng theo tập dòng đang hiển thị/lọc, không lũy kế theo ngày.</t>
        </is>
      </c>
      <c r="E47" s="8" t="inlineStr">
        <is>
          <t>(Giữ nguyên)</t>
        </is>
      </c>
      <c r="F47" s="8" t="inlineStr">
        <is>
          <t>(Giữ nguyên)</t>
        </is>
      </c>
      <c r="G47" s="8" t="inlineStr">
        <is>
          <t>(Giữ nguyên)</t>
        </is>
      </c>
      <c r="H47" s="8" t="inlineStr"/>
    </row>
    <row r="48">
      <c r="A48" s="7" t="inlineStr">
        <is>
          <t>Doanh thu thực tế (ô chỉ số)</t>
        </is>
      </c>
      <c r="B48" s="8" t="inlineStr">
        <is>
          <t>Ô chỉ số (KPI tile) hiển thị TỔNG Doanh thu thực tế (thuần, chưa VAT) của các dòng đang lọc trên canvas MIS. Mỗi dòng: Doanh thu thực tế = doanh thu gốc chưa VAT của dòng − phần chiết khấu của dòng (hợp nhất hóa đơn bán dấu +, chứng từ điều chỉnh giảm dấu −); ô chỉ số cộng tổng các dòng.</t>
        </is>
      </c>
      <c r="C48" s="8" t="inlineStr">
        <is>
          <t>Chỉ giao dịch đã hạch toán; chỉ tài khoản doanh thu; loại dòng chiết khấu (Discount); loại giao dịch công ty con/chi nhánh nội bộ.</t>
        </is>
      </c>
      <c r="D48" s="8" t="inlineStr">
        <is>
          <t>Doanh thu thuần (chưa VAT). Là tổng theo tập dòng đang hiển thị/lọc, không lũy kế theo ngày.</t>
        </is>
      </c>
      <c r="E48" s="8" t="inlineStr">
        <is>
          <t>(Giữ nguyên)</t>
        </is>
      </c>
      <c r="F48" s="8" t="inlineStr">
        <is>
          <t>(Giữ nguyên)</t>
        </is>
      </c>
      <c r="G48" s="8" t="inlineStr">
        <is>
          <t>(Giữ nguyên)</t>
        </is>
      </c>
      <c r="H48" s="8" t="inlineStr"/>
    </row>
  </sheetData>
  <mergeCells count="2">
    <mergeCell ref="A3:H3"/>
    <mergeCell ref="A45:H45"/>
  </mergeCells>
  <dataValidations count="1">
    <dataValidation sqref="H4:H49"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2026-06-30T18:06:03Z</dcterms:created>
  <dcterms:modified xmlns:dcterms="http://purl.org/dc/terms/" xmlns:xsi="http://www.w3.org/2001/XMLSchema-instance" xsi:type="dcterms:W3CDTF">2026-06-30T18:06:03Z</dcterms:modified>
</cp:coreProperties>
</file>